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nduan" sheetId="1" state="visible" r:id="rId3"/>
    <sheet name="Jadwal 8 Minggu" sheetId="2" state="visible" r:id="rId4"/>
    <sheet name="Daftar Konten" sheetId="3" state="visible" r:id="rId5"/>
    <sheet name="Iklan Meta" sheetId="4" state="visible" r:id="rId6"/>
  </sheets>
  <definedNames>
    <definedName function="false" hidden="true" localSheetId="2" name="_xlnm._FilterDatabase" vbProcedure="false">'Daftar Konten'!$A$1:$I$287</definedName>
    <definedName function="false" hidden="true" localSheetId="1" name="_xlnm._FilterDatabase" vbProcedure="false">'Jadwal 8 Minggu'!$A$4:$L$133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<sst xmlns="http://schemas.openxmlformats.org/spreadsheetml/2006/main" count="2925" uniqueCount="1289">
  <si>
    <t xml:space="preserve">Konten Planner: HrCash dan Cash Impact (8 minggu)</t>
  </si>
  <si>
    <t xml:space="preserve">Pengaturan</t>
  </si>
  <si>
    <t xml:space="preserve">Tanggal mulai (isi sendiri)</t>
  </si>
  <si>
    <t xml:space="preserve">Ubah tanggal ini, seluruh jadwal ikut bergeser. Disarankan hari Senin.</t>
  </si>
  <si>
    <t xml:space="preserve">Jam unggah Reels / video IG</t>
  </si>
  <si>
    <t xml:space="preserve">12:00</t>
  </si>
  <si>
    <t xml:space="preserve">Kisaran jam ramai 11.00-13.00 dan 19.00-21.00. Ubah di kolom Jam pada sheet Jadwal.</t>
  </si>
  <si>
    <t xml:space="preserve">Jam unggah IG feed (gambar)</t>
  </si>
  <si>
    <t xml:space="preserve">19:00</t>
  </si>
  <si>
    <t xml:space="preserve">Jam unggah TikTok</t>
  </si>
  <si>
    <t xml:space="preserve">20:30</t>
  </si>
  <si>
    <t xml:space="preserve">Video yang sama dengan Reels, caption sedikit disesuaikan.</t>
  </si>
  <si>
    <t xml:space="preserve">Cara pakai</t>
  </si>
  <si>
    <t xml:space="preserve">1. Buka sheet 'Jadwal 8 Minggu'. Tiap baris = satu unggahan (tanggal, jam, platform, kode konten).</t>
  </si>
  <si>
    <t xml:space="preserve">2. Cari file lewat kolom 'Kode konten' di sheet 'Daftar Konten' (ada nama file/folder, hook, dan caption).</t>
  </si>
  <si>
    <t xml:space="preserve">3. Setelah mengunggah, ubah kolom Status menjadi 'Terposting' (ada pilihan dropdown).</t>
  </si>
  <si>
    <t xml:space="preserve">4. Ringkasan di bawah dan kolom 'Terpakai' di Daftar Konten menghitung otomatis.</t>
  </si>
  <si>
    <t xml:space="preserve">5. Kolom berwarna kuning pada sheet Panduan boleh kamu ubah. Sel lain berisi rumus, jangan ditimpa.</t>
  </si>
  <si>
    <t xml:space="preserve">6. Sheet 'Iklan Meta' berisi rencana uji iklan. Mulai setelah minggu ke-1 (akun sudah ada isi).</t>
  </si>
  <si>
    <t xml:space="preserve">Peringatan penting</t>
  </si>
  <si>
    <t xml:space="preserve">Video lama V1-V7 (folder marketing/video) masih memuat harga Rp289.000. Jangan dipakai. Pakai hanya set K, N, E.</t>
  </si>
  <si>
    <t xml:space="preserve">Video set 'harga' (N) menampilkan Rp349.000 dan nomor 081234556757. Pastikan harga masih berlaku saat diunggah.</t>
  </si>
  <si>
    <t xml:space="preserve">Konten hukum (lembur, cuti, THR) bersifat informasi umum. THR (video E04) dan cuti (E03) belum diverifikasi sumbernya. Cek dulu sebelum dipakai.</t>
  </si>
  <si>
    <t xml:space="preserve">Contoh angka di video dan gambar adalah ilustrasi. Nama karyawan di video adalah contoh.</t>
  </si>
  <si>
    <t xml:space="preserve">Ringkasan jadwal (otomatis)</t>
  </si>
  <si>
    <t xml:space="preserve">Total unggahan</t>
  </si>
  <si>
    <t xml:space="preserve">IG Reels</t>
  </si>
  <si>
    <t xml:space="preserve">IG Feed</t>
  </si>
  <si>
    <t xml:space="preserve">TikTok video</t>
  </si>
  <si>
    <t xml:space="preserve">TikTok foto</t>
  </si>
  <si>
    <t xml:space="preserve">Sudah terposting</t>
  </si>
  <si>
    <t xml:space="preserve">Belum terposting</t>
  </si>
  <si>
    <t xml:space="preserve">Hashtag dasar</t>
  </si>
  <si>
    <t xml:space="preserve">HrCash: #absensikaryawan #hrumkm #payroll #umkmindonesia #pemilikusaha #tipsbisnis #hrd</t>
  </si>
  <si>
    <t xml:space="preserve">Umum: #tipskeuangan #produktivitas #dunia kerja #karier #selfimprovement #umkm</t>
  </si>
  <si>
    <t xml:space="preserve">Sumber: jadwal dan frekuensi adalah usulan kerja (belum diuji ke akunmu). Jam unggah mengikuti kebiasaan umum dan perlu disesuaikan setelah melihat statistik akun.</t>
  </si>
  <si>
    <t xml:space="preserve">Jadwal unggah 8 minggu</t>
  </si>
  <si>
    <t xml:space="preserve">Tanggal mengikuti 'Tanggal mulai' di sheet Panduan. Hook dan caption terisi otomatis dari sheet Daftar Konten.</t>
  </si>
  <si>
    <t xml:space="preserve">No</t>
  </si>
  <si>
    <t xml:space="preserve">Tanggal</t>
  </si>
  <si>
    <t xml:space="preserve">Hari</t>
  </si>
  <si>
    <t xml:space="preserve">Jam</t>
  </si>
  <si>
    <t xml:space="preserve">Platform</t>
  </si>
  <si>
    <t xml:space="preserve">Format</t>
  </si>
  <si>
    <t xml:space="preserve">Kode konten</t>
  </si>
  <si>
    <t xml:space="preserve">Hook / judul</t>
  </si>
  <si>
    <t xml:space="preserve">Tujuan</t>
  </si>
  <si>
    <t xml:space="preserve">Caption (saran)</t>
  </si>
  <si>
    <t xml:space="preserve">Catatan</t>
  </si>
  <si>
    <t xml:space="preserve">Status</t>
  </si>
  <si>
    <t xml:space="preserve">Video 9:16</t>
  </si>
  <si>
    <t xml:space="preserve">E01</t>
  </si>
  <si>
    <t xml:space="preserve">Edukasi</t>
  </si>
  <si>
    <t xml:space="preserve">Unggah ke Reels</t>
  </si>
  <si>
    <t xml:space="preserve">Belum</t>
  </si>
  <si>
    <t xml:space="preserve">Carousel 3 gambar</t>
  </si>
  <si>
    <t xml:space="preserve">IG1</t>
  </si>
  <si>
    <t xml:space="preserve">Masalah owner</t>
  </si>
  <si>
    <t xml:space="preserve">Unggah di feed</t>
  </si>
  <si>
    <t xml:space="preserve">TikTok</t>
  </si>
  <si>
    <t xml:space="preserve">Video sama, caption disesuaikan</t>
  </si>
  <si>
    <t xml:space="preserve">F01</t>
  </si>
  <si>
    <t xml:space="preserve">E16</t>
  </si>
  <si>
    <t xml:space="preserve">Promosi</t>
  </si>
  <si>
    <t xml:space="preserve">Gambar 4:5</t>
  </si>
  <si>
    <t xml:space="preserve">P01</t>
  </si>
  <si>
    <t xml:space="preserve">Edukasi/Interaksi</t>
  </si>
  <si>
    <t xml:space="preserve">TikTok Foto</t>
  </si>
  <si>
    <t xml:space="preserve">Foto 3 slide 9:16</t>
  </si>
  <si>
    <t xml:space="preserve">TT1</t>
  </si>
  <si>
    <t xml:space="preserve">Mode foto TikTok</t>
  </si>
  <si>
    <t xml:space="preserve">F21</t>
  </si>
  <si>
    <t xml:space="preserve">F36</t>
  </si>
  <si>
    <t xml:space="preserve">Interaksi</t>
  </si>
  <si>
    <t xml:space="preserve">P61</t>
  </si>
  <si>
    <t xml:space="preserve">N01</t>
  </si>
  <si>
    <t xml:space="preserve">Promosi ringan</t>
  </si>
  <si>
    <t xml:space="preserve">Khusus TikTok akhir pekan</t>
  </si>
  <si>
    <t xml:space="preserve">P11</t>
  </si>
  <si>
    <t xml:space="preserve">N05</t>
  </si>
  <si>
    <t xml:space="preserve">F51</t>
  </si>
  <si>
    <t xml:space="preserve">P81</t>
  </si>
  <si>
    <t xml:space="preserve">E28</t>
  </si>
  <si>
    <t xml:space="preserve">E02</t>
  </si>
  <si>
    <t xml:space="preserve">P21</t>
  </si>
  <si>
    <t xml:space="preserve">F02</t>
  </si>
  <si>
    <t xml:space="preserve">E17</t>
  </si>
  <si>
    <t xml:space="preserve">IG2</t>
  </si>
  <si>
    <t xml:space="preserve">N07</t>
  </si>
  <si>
    <t xml:space="preserve">P101</t>
  </si>
  <si>
    <t xml:space="preserve">N10</t>
  </si>
  <si>
    <t xml:space="preserve">F22</t>
  </si>
  <si>
    <t xml:space="preserve">P31</t>
  </si>
  <si>
    <t xml:space="preserve">F37</t>
  </si>
  <si>
    <t xml:space="preserve">F52</t>
  </si>
  <si>
    <t xml:space="preserve">P62</t>
  </si>
  <si>
    <t xml:space="preserve">E29</t>
  </si>
  <si>
    <t xml:space="preserve">E03</t>
  </si>
  <si>
    <t xml:space="preserve">P41</t>
  </si>
  <si>
    <t xml:space="preserve">N14</t>
  </si>
  <si>
    <t xml:space="preserve">P82</t>
  </si>
  <si>
    <t xml:space="preserve">N16</t>
  </si>
  <si>
    <t xml:space="preserve">F03</t>
  </si>
  <si>
    <t xml:space="preserve">IG3</t>
  </si>
  <si>
    <t xml:space="preserve">E18</t>
  </si>
  <si>
    <t xml:space="preserve">F23</t>
  </si>
  <si>
    <t xml:space="preserve">P51</t>
  </si>
  <si>
    <t xml:space="preserve">F38</t>
  </si>
  <si>
    <t xml:space="preserve">F53</t>
  </si>
  <si>
    <t xml:space="preserve">P102</t>
  </si>
  <si>
    <t xml:space="preserve">N18</t>
  </si>
  <si>
    <t xml:space="preserve">P03</t>
  </si>
  <si>
    <t xml:space="preserve">N23</t>
  </si>
  <si>
    <t xml:space="preserve">E30</t>
  </si>
  <si>
    <t xml:space="preserve">P63</t>
  </si>
  <si>
    <t xml:space="preserve">E04</t>
  </si>
  <si>
    <t xml:space="preserve">F04</t>
  </si>
  <si>
    <t xml:space="preserve">P12</t>
  </si>
  <si>
    <t xml:space="preserve">E19</t>
  </si>
  <si>
    <t xml:space="preserve">F24</t>
  </si>
  <si>
    <t xml:space="preserve">IG4</t>
  </si>
  <si>
    <t xml:space="preserve">N26</t>
  </si>
  <si>
    <t xml:space="preserve">P83</t>
  </si>
  <si>
    <t xml:space="preserve">N29</t>
  </si>
  <si>
    <t xml:space="preserve">F39</t>
  </si>
  <si>
    <t xml:space="preserve">P22</t>
  </si>
  <si>
    <t xml:space="preserve">F54</t>
  </si>
  <si>
    <t xml:space="preserve">E05</t>
  </si>
  <si>
    <t xml:space="preserve">P103</t>
  </si>
  <si>
    <t xml:space="preserve">F05</t>
  </si>
  <si>
    <t xml:space="preserve">E20</t>
  </si>
  <si>
    <t xml:space="preserve">P32</t>
  </si>
  <si>
    <t xml:space="preserve">N31</t>
  </si>
  <si>
    <t xml:space="preserve">P64</t>
  </si>
  <si>
    <t xml:space="preserve">N34</t>
  </si>
  <si>
    <t xml:space="preserve">F25</t>
  </si>
  <si>
    <t xml:space="preserve">IG5</t>
  </si>
  <si>
    <t xml:space="preserve">F40</t>
  </si>
  <si>
    <t xml:space="preserve">F55</t>
  </si>
  <si>
    <t xml:space="preserve">P42</t>
  </si>
  <si>
    <t xml:space="preserve">E06</t>
  </si>
  <si>
    <t xml:space="preserve">F06</t>
  </si>
  <si>
    <t xml:space="preserve">P84</t>
  </si>
  <si>
    <t xml:space="preserve">N36</t>
  </si>
  <si>
    <t xml:space="preserve">P52</t>
  </si>
  <si>
    <t xml:space="preserve">N40</t>
  </si>
  <si>
    <t xml:space="preserve">E21</t>
  </si>
  <si>
    <t xml:space="preserve">P104</t>
  </si>
  <si>
    <t xml:space="preserve">F26</t>
  </si>
  <si>
    <t xml:space="preserve">F41</t>
  </si>
  <si>
    <t xml:space="preserve">P04</t>
  </si>
  <si>
    <t xml:space="preserve">F56</t>
  </si>
  <si>
    <t xml:space="preserve">E07</t>
  </si>
  <si>
    <t xml:space="preserve">P65</t>
  </si>
  <si>
    <t xml:space="preserve">N43</t>
  </si>
  <si>
    <t xml:space="preserve">P13</t>
  </si>
  <si>
    <t xml:space="preserve">N45</t>
  </si>
  <si>
    <t xml:space="preserve">Jenis</t>
  </si>
  <si>
    <t xml:space="preserve">File / folder</t>
  </si>
  <si>
    <t xml:space="preserve">Versi</t>
  </si>
  <si>
    <t xml:space="preserve">Durasi</t>
  </si>
  <si>
    <t xml:space="preserve">Terpakai di jadwal</t>
  </si>
  <si>
    <t xml:space="preserve">K01</t>
  </si>
  <si>
    <t xml:space="preserve">Video 18 detik</t>
  </si>
  <si>
    <t xml:space="preserve">marketing/video/animasi/hrcash-K01-chat-tanggal-25-(wa|bersih).mp4</t>
  </si>
  <si>
    <t xml:space="preserve">Tiap tanggal 25, HP bos ramai begini</t>
  </si>
  <si>
    <t xml:space="preserve">WA / bersih</t>
  </si>
  <si>
    <t xml:space="preserve">~18 dtk</t>
  </si>
  <si>
    <t xml:space="preserve">Tiap tanggal 25, HP bos ramai begini Setuju? Tulis di komentar.</t>
  </si>
  <si>
    <t xml:space="preserve">Versi WA: kontak 081234556757. Versi bersih: tanpa ajakan.</t>
  </si>
  <si>
    <t xml:space="preserve">K02</t>
  </si>
  <si>
    <t xml:space="preserve">marketing/video/animasi/hrcash-K02-nol-aplikasi-(wa|bersih).mp4</t>
  </si>
  <si>
    <t xml:space="preserve">Perlu install berapa aplikasi buat absen dan gajian?</t>
  </si>
  <si>
    <t xml:space="preserve">Perlu install berapa aplikasi buat absen dan gajian? Setuju? Tulis di komentar.</t>
  </si>
  <si>
    <t xml:space="preserve">K03</t>
  </si>
  <si>
    <t xml:space="preserve">marketing/video/animasi/hrcash-K03-kalender-gajian-(wa|bersih).mp4</t>
  </si>
  <si>
    <t xml:space="preserve">Tanggal 25 tidak lagi bikin pusing</t>
  </si>
  <si>
    <t xml:space="preserve">Tanggal 25 tidak lagi bikin pusing Setuju? Tulis di komentar.</t>
  </si>
  <si>
    <t xml:space="preserve">K04</t>
  </si>
  <si>
    <t xml:space="preserve">marketing/video/animasi/hrcash-K04-titip-absen-(wa|bersih).mp4</t>
  </si>
  <si>
    <t xml:space="preserve">Titip absen itu sudah biasa?</t>
  </si>
  <si>
    <t xml:space="preserve">Titip absen itu sudah biasa? Setuju? Tulis di komentar.</t>
  </si>
  <si>
    <t xml:space="preserve">K05</t>
  </si>
  <si>
    <t xml:space="preserve">marketing/video/animasi/hrcash-K05-rekap-otomatis-(wa|bersih).mp4</t>
  </si>
  <si>
    <t xml:space="preserve">Rekap absen sebulan? Jangan hitung manual</t>
  </si>
  <si>
    <t xml:space="preserve">Rekap absen sebulan? Jangan hitung manual Setuju? Tulis di komentar.</t>
  </si>
  <si>
    <t xml:space="preserve">K06</t>
  </si>
  <si>
    <t xml:space="preserve">marketing/video/animasi/hrcash-K06-gaji-dikomplain-(wa|bersih).mp4</t>
  </si>
  <si>
    <t xml:space="preserve">Gaji dikomplain, kok kurang?</t>
  </si>
  <si>
    <t xml:space="preserve">Gaji dikomplain, kok kurang? Setuju? Tulis di komentar.</t>
  </si>
  <si>
    <t xml:space="preserve">K07</t>
  </si>
  <si>
    <t xml:space="preserve">marketing/video/animasi/hrcash-K07-cuti-lembur-(wa|bersih).mp4</t>
  </si>
  <si>
    <t xml:space="preserve">Cuti dan lembur tanpa kertas</t>
  </si>
  <si>
    <t xml:space="preserve">Cuti dan lembur tanpa kertas Setuju? Tulis di komentar.</t>
  </si>
  <si>
    <t xml:space="preserve">K08</t>
  </si>
  <si>
    <t xml:space="preserve">marketing/video/animasi/hrcash-K08-kasbon-(wa|bersih).mp4</t>
  </si>
  <si>
    <t xml:space="preserve">Kasbon lupa dicatat? Pusing nagihnya</t>
  </si>
  <si>
    <t xml:space="preserve">Kasbon lupa dicatat? Pusing nagihnya Setuju? Tulis di komentar.</t>
  </si>
  <si>
    <t xml:space="preserve">K09</t>
  </si>
  <si>
    <t xml:space="preserve">marketing/video/animasi/hrcash-K09-buku-absen-(wa|bersih).mp4</t>
  </si>
  <si>
    <t xml:space="preserve">Buku absen, rekap manual, titip absen. Cukup sudah.</t>
  </si>
  <si>
    <t xml:space="preserve">Buku absen, rekap manual, titip absen. Cukup sudah. Setuju? Tulis di komentar.</t>
  </si>
  <si>
    <t xml:space="preserve">K10</t>
  </si>
  <si>
    <t xml:space="preserve">marketing/video/animasi/hrcash-K10-hitung-gaji-(wa|bersih).mp4</t>
  </si>
  <si>
    <t xml:space="preserve">Hitung gaji berjam-jam?</t>
  </si>
  <si>
    <t xml:space="preserve">Hitung gaji berjam-jam? Setuju? Tulis di komentar.</t>
  </si>
  <si>
    <t xml:space="preserve">Video 18-19 detik</t>
  </si>
  <si>
    <t xml:space="preserve">marketing/video/set-30/bersih/hrcash-N01-pov-jam-7-pagi.mp4</t>
  </si>
  <si>
    <t xml:space="preserve">POV: Pukul 7 pagi, HP owner sudah bunyi.</t>
  </si>
  <si>
    <t xml:space="preserve">Bersih</t>
  </si>
  <si>
    <t xml:space="preserve">~18-19 dtk</t>
  </si>
  <si>
    <t xml:space="preserve">POV: Pukul 7 pagi, HP owner sudah bunyi. Setuju? Tulis di komentar.</t>
  </si>
  <si>
    <t xml:space="preserve">Tanpa harga/kontak</t>
  </si>
  <si>
    <t xml:space="preserve">N02</t>
  </si>
  <si>
    <t xml:space="preserve">marketing/video/set-30/harga/hrcash-N02-tiga-tanda-butuh-absen-digital.mp4</t>
  </si>
  <si>
    <t xml:space="preserve">3 tanda usahamu butuh absen digital.</t>
  </si>
  <si>
    <t xml:space="preserve">Harga + WA</t>
  </si>
  <si>
    <t xml:space="preserve">3 tanda usahamu butuh absen digital. Setuju? Tulis di komentar.</t>
  </si>
  <si>
    <t xml:space="preserve">Rp349.000 + 081234556757 di penutup</t>
  </si>
  <si>
    <t xml:space="preserve">N03</t>
  </si>
  <si>
    <t xml:space="preserve">marketing/video/set-30/harga/hrcash-N03-mitos-absen-digital-mahal.mp4</t>
  </si>
  <si>
    <t xml:space="preserve">Mitos: absen digital itu mahal.</t>
  </si>
  <si>
    <t xml:space="preserve">Mitos: absen digital itu mahal. Setuju? Tulis di komentar.</t>
  </si>
  <si>
    <t xml:space="preserve">N04</t>
  </si>
  <si>
    <t xml:space="preserve">marketing/video/set-30/bersih/hrcash-N04-telat-tiga-kali.mp4</t>
  </si>
  <si>
    <t xml:space="preserve">Karyawan telat 3 kali. Kamu catat di mana?</t>
  </si>
  <si>
    <t xml:space="preserve">Karyawan telat 3 kali. Kamu catat di mana? Setuju? Tulis di komentar.</t>
  </si>
  <si>
    <t xml:space="preserve">marketing/video/set-30/bersih/hrcash-N05-jam-setahun-urus-gaji.mp4</t>
  </si>
  <si>
    <t xml:space="preserve">Berapa jam setahun kamu habiskan urus gaji?</t>
  </si>
  <si>
    <t xml:space="preserve">Berapa jam setahun kamu habiskan urus gaji? Setuju? Tulis di komentar.</t>
  </si>
  <si>
    <t xml:space="preserve">N06</t>
  </si>
  <si>
    <t xml:space="preserve">marketing/video/set-30/bersih/hrcash-N06-stop-slip-lewat-wa.mp4</t>
  </si>
  <si>
    <t xml:space="preserve">Slip gaji lewat WA satu-satu? Stop.</t>
  </si>
  <si>
    <t xml:space="preserve">Slip gaji lewat WA satu-satu? Stop. Setuju? Tulis di komentar.</t>
  </si>
  <si>
    <t xml:space="preserve">marketing/video/set-30/bersih/hrcash-N07-lupa-check-out.mp4</t>
  </si>
  <si>
    <t xml:space="preserve">'Saya lupa check out, Pak.' Sering dengar?</t>
  </si>
  <si>
    <t xml:space="preserve">'Saya lupa check out, Pak.' Sering dengar? Setuju? Tulis di komentar.</t>
  </si>
  <si>
    <t xml:space="preserve">N08</t>
  </si>
  <si>
    <t xml:space="preserve">marketing/video/set-30/harga/hrcash-N08-karyawan-baru-tiga-langkah.mp4</t>
  </si>
  <si>
    <t xml:space="preserve">Karyawan baru masuk? Absennya 3 langkah.</t>
  </si>
  <si>
    <t xml:space="preserve">Karyawan baru masuk? Absennya 3 langkah. Setuju? Tulis di komentar.</t>
  </si>
  <si>
    <t xml:space="preserve">N09</t>
  </si>
  <si>
    <t xml:space="preserve">marketing/video/set-30/bersih/hrcash-N09-sudah-di-toko-petanya.mp4</t>
  </si>
  <si>
    <t xml:space="preserve">'Sudah di toko, Pak.' Petanya bilang apa?</t>
  </si>
  <si>
    <t xml:space="preserve">'Sudah di toko, Pak.' Petanya bilang apa? Setuju? Tulis di komentar.</t>
  </si>
  <si>
    <t xml:space="preserve">marketing/video/set-30/bersih/hrcash-N10-lembur-dua-jam.mp4</t>
  </si>
  <si>
    <t xml:space="preserve">Lembur 2 jam, dihitung berapa?</t>
  </si>
  <si>
    <t xml:space="preserve">Lembur 2 jam, dihitung berapa? Setuju? Tulis di komentar.</t>
  </si>
  <si>
    <t xml:space="preserve">N11</t>
  </si>
  <si>
    <t xml:space="preserve">marketing/video/set-30/bersih/hrcash-N11-lima-pertanyaan-gajian.mp4</t>
  </si>
  <si>
    <t xml:space="preserve">5 pertanyaan karyawan tiap tanggal gajian.</t>
  </si>
  <si>
    <t xml:space="preserve">5 pertanyaan karyawan tiap tanggal gajian. Setuju? Tulis di komentar.</t>
  </si>
  <si>
    <t xml:space="preserve">N12</t>
  </si>
  <si>
    <t xml:space="preserve">marketing/video/set-30/harga/hrcash-N12-empat-excel-satu-link.mp4</t>
  </si>
  <si>
    <t xml:space="preserve">Dulu 4 file Excel. Sekarang 1 link.</t>
  </si>
  <si>
    <t xml:space="preserve">Dulu 4 file Excel. Sekarang 1 link. Setuju? Tulis di komentar.</t>
  </si>
  <si>
    <t xml:space="preserve">N13</t>
  </si>
  <si>
    <t xml:space="preserve">marketing/video/set-30/harga/hrcash-N13-absen-lima-belas-detik.mp4</t>
  </si>
  <si>
    <t xml:space="preserve">Absen karyawan cuma 15 detik.</t>
  </si>
  <si>
    <t xml:space="preserve">Absen karyawan cuma 15 detik. Setuju? Tulis di komentar.</t>
  </si>
  <si>
    <t xml:space="preserve">marketing/video/set-30/bersih/hrcash-N14-selfie-bukan-tanda-tangan.mp4</t>
  </si>
  <si>
    <t xml:space="preserve">Absen pakai selfie, bukan sekadar tanda tangan.</t>
  </si>
  <si>
    <t xml:space="preserve">Absen pakai selfie, bukan sekadar tanda tangan. Setuju? Tulis di komentar.</t>
  </si>
  <si>
    <t xml:space="preserve">N15</t>
  </si>
  <si>
    <t xml:space="preserve">marketing/video/set-30/bersih/hrcash-N15-saldo-cuti.mp4</t>
  </si>
  <si>
    <t xml:space="preserve">Saldo cuti numpuk, tidak ada yang tahu.</t>
  </si>
  <si>
    <t xml:space="preserve">Saldo cuti numpuk, tidak ada yang tahu. Setuju? Tulis di komentar.</t>
  </si>
  <si>
    <t xml:space="preserve">marketing/video/set-30/bersih/hrcash-N16-begadang-rekap.mp4</t>
  </si>
  <si>
    <t xml:space="preserve">Owner begadang rekap absen. Cukup.</t>
  </si>
  <si>
    <t xml:space="preserve">Owner begadang rekap absen. Cukup. Setuju? Tulis di komentar.</t>
  </si>
  <si>
    <t xml:space="preserve">N17</t>
  </si>
  <si>
    <t xml:space="preserve">marketing/video/set-30/bersih/hrcash-N17-slip-menyusul.mp4</t>
  </si>
  <si>
    <t xml:space="preserve">Gaji ditransfer, slip menyusul?</t>
  </si>
  <si>
    <t xml:space="preserve">Gaji ditransfer, slip menyusul? Setuju? Tulis di komentar.</t>
  </si>
  <si>
    <t xml:space="preserve">marketing/video/set-30/bersih/hrcash-N18-admin-menumpuk.mp4</t>
  </si>
  <si>
    <t xml:space="preserve">Kenapa usaha sulit berkembang? Admin menumpuk.</t>
  </si>
  <si>
    <t xml:space="preserve">Kenapa usaha sulit berkembang? Admin menumpuk. Setuju? Tulis di komentar.</t>
  </si>
  <si>
    <t xml:space="preserve">N19</t>
  </si>
  <si>
    <t xml:space="preserve">marketing/video/set-30/harga/hrcash-N19-tiga-aturan-absen-adil.mp4</t>
  </si>
  <si>
    <t xml:space="preserve">3 aturan absen yang adil untuk semua.</t>
  </si>
  <si>
    <t xml:space="preserve">3 aturan absen yang adil untuk semua. Setuju? Tulis di komentar.</t>
  </si>
  <si>
    <t xml:space="preserve">N20</t>
  </si>
  <si>
    <t xml:space="preserve">marketing/video/set-30/harga/hrcash-N20-karyawan-jujur.mp4</t>
  </si>
  <si>
    <t xml:space="preserve">Karyawan jujur butuh sistem yang adil.</t>
  </si>
  <si>
    <t xml:space="preserve">Karyawan jujur butuh sistem yang adil. Setuju? Tulis di komentar.</t>
  </si>
  <si>
    <t xml:space="preserve">N21</t>
  </si>
  <si>
    <t xml:space="preserve">marketing/video/set-30/bersih/hrcash-N21-potongan-telat.mp4</t>
  </si>
  <si>
    <t xml:space="preserve">Potongan telat: dicatat atau kira-kira?</t>
  </si>
  <si>
    <t xml:space="preserve">Potongan telat: dicatat atau kira-kira? Setuju? Tulis di komentar.</t>
  </si>
  <si>
    <t xml:space="preserve">N22</t>
  </si>
  <si>
    <t xml:space="preserve">marketing/video/set-30/harga/hrcash-N22-satu-link-semua-karyawan.mp4</t>
  </si>
  <si>
    <t xml:space="preserve">Satu link untuk semua karyawan.</t>
  </si>
  <si>
    <t xml:space="preserve">Satu link untuk semua karyawan. Setuju? Tulis di komentar.</t>
  </si>
  <si>
    <t xml:space="preserve">marketing/video/set-30/bersih/hrcash-N23-perlu-install-tidak.mp4</t>
  </si>
  <si>
    <t xml:space="preserve">Owner: 'Perlu install?' Jawabannya: 'Tidak.'</t>
  </si>
  <si>
    <t xml:space="preserve">Owner: 'Perlu install?' Jawabannya: 'Tidak.' Setuju? Tulis di komentar.</t>
  </si>
  <si>
    <t xml:space="preserve">N24</t>
  </si>
  <si>
    <t xml:space="preserve">marketing/video/set-30/bersih/hrcash-N24-warung-toko-bengkel-salon.mp4</t>
  </si>
  <si>
    <t xml:space="preserve">Warung, toko, bengkel, salon: semua bisa.</t>
  </si>
  <si>
    <t xml:space="preserve">Warung, toko, bengkel, salon: semua bisa. Setuju? Tulis di komentar.</t>
  </si>
  <si>
    <t xml:space="preserve">N25</t>
  </si>
  <si>
    <t xml:space="preserve">marketing/video/set-30/harga/hrcash-N25-gajian-jam-10-pagi.mp4</t>
  </si>
  <si>
    <t xml:space="preserve">Gajian selesai jam 10 pagi, bukan jam 10 malam.</t>
  </si>
  <si>
    <t xml:space="preserve">Gajian selesai jam 10 pagi, bukan jam 10 malam. Setuju? Tulis di komentar.</t>
  </si>
  <si>
    <t xml:space="preserve">marketing/video/set-30/bersih/hrcash-N26-jam-kerja-asli.mp4</t>
  </si>
  <si>
    <t xml:space="preserve">Kamu bayar gaji. Tahu jam kerja aslinya?</t>
  </si>
  <si>
    <t xml:space="preserve">Kamu bayar gaji. Tahu jam kerja aslinya? Setuju? Tulis di komentar.</t>
  </si>
  <si>
    <t xml:space="preserve">N27</t>
  </si>
  <si>
    <t xml:space="preserve">marketing/video/set-30/bersih/hrcash-N27-siapa-rajin-siapa-telat.mp4</t>
  </si>
  <si>
    <t xml:space="preserve">Siapa rajin, siapa sering telat? Datanya ada.</t>
  </si>
  <si>
    <t xml:space="preserve">Siapa rajin, siapa sering telat? Datanya ada. Setuju? Tulis di komentar.</t>
  </si>
  <si>
    <t xml:space="preserve">N28</t>
  </si>
  <si>
    <t xml:space="preserve">marketing/video/set-30/harga/hrcash-N28-resolusi-administrasi-rapi.mp4</t>
  </si>
  <si>
    <t xml:space="preserve">Resolusi tahun depan: administrasi usaha rapi.</t>
  </si>
  <si>
    <t xml:space="preserve">Resolusi tahun depan: administrasi usaha rapi. Setuju? Tulis di komentar.</t>
  </si>
  <si>
    <t xml:space="preserve">marketing/video/set-30/bersih/hrcash-N29-senin-berapa-hadir.mp4</t>
  </si>
  <si>
    <t xml:space="preserve">Senin pagi: berapa yang hadir?</t>
  </si>
  <si>
    <t xml:space="preserve">Senin pagi: berapa yang hadir? Setuju? Tulis di komentar.</t>
  </si>
  <si>
    <t xml:space="preserve">N30</t>
  </si>
  <si>
    <t xml:space="preserve">marketing/video/set-30/bersih/hrcash-N30-checklist-akhir-bulan.mp4</t>
  </si>
  <si>
    <t xml:space="preserve">Checklist akhir bulan owner: tinggal klik.</t>
  </si>
  <si>
    <t xml:space="preserve">Checklist akhir bulan owner: tinggal klik. Setuju? Tulis di komentar.</t>
  </si>
  <si>
    <t xml:space="preserve">marketing/video/set-60/bersih/hrcash-N31-hp-rusak-data-hilang.mp4</t>
  </si>
  <si>
    <t xml:space="preserve">HP karyawan rusak. Data absennya hilang?</t>
  </si>
  <si>
    <t xml:space="preserve">HP karyawan rusak. Data absennya hilang? Setuju? Tulis di komentar.</t>
  </si>
  <si>
    <t xml:space="preserve">N32</t>
  </si>
  <si>
    <t xml:space="preserve">marketing/video/set-60/bersih/hrcash-N32-resign-riwayat-absen.mp4</t>
  </si>
  <si>
    <t xml:space="preserve">Karyawan resign, riwayat absennya ke mana?</t>
  </si>
  <si>
    <t xml:space="preserve">Karyawan resign, riwayat absennya ke mana? Setuju? Tulis di komentar.</t>
  </si>
  <si>
    <t xml:space="preserve">N33</t>
  </si>
  <si>
    <t xml:space="preserve">marketing/video/set-60/harga/hrcash-N33-selisih-50-ribu.mp4</t>
  </si>
  <si>
    <t xml:space="preserve">Selisih Rp50.000 per orang. Setahun jadi berapa?</t>
  </si>
  <si>
    <t xml:space="preserve">Selisih Rp50.000 per orang. Setahun jadi berapa? Setuju? Tulis di komentar.</t>
  </si>
  <si>
    <t xml:space="preserve">marketing/video/set-60/bersih/hrcash-N34-hujan-deras-telat.mp4</t>
  </si>
  <si>
    <t xml:space="preserve">'Hujan deras, Pak, saya telat.' Dimaafkan atau dipotong?</t>
  </si>
  <si>
    <t xml:space="preserve">'Hujan deras, Pak, saya telat.' Dimaafkan atau dipotong? Setuju? Tulis di komentar.</t>
  </si>
  <si>
    <t xml:space="preserve">N35</t>
  </si>
  <si>
    <t xml:space="preserve">marketing/video/set-60/bersih/hrcash-N35-jadwal-papan-tulis.mp4</t>
  </si>
  <si>
    <t xml:space="preserve">Jadwal kerja masih di papan tulis?</t>
  </si>
  <si>
    <t xml:space="preserve">Jadwal kerja masih di papan tulis? Setuju? Tulis di komentar.</t>
  </si>
  <si>
    <t xml:space="preserve">marketing/video/set-60/bersih/hrcash-N36-surat-peringatan-keterangan.mp4</t>
  </si>
  <si>
    <t xml:space="preserve">Surat peringatan dan surat keterangan, dibuat dari nol?</t>
  </si>
  <si>
    <t xml:space="preserve">Surat peringatan dan surat keterangan, dibuat dari nol? Setuju? Tulis di komentar.</t>
  </si>
  <si>
    <t xml:space="preserve">N37</t>
  </si>
  <si>
    <t xml:space="preserve">marketing/video/set-60/harga/hrcash-N37-pengumuman-tenggelam.mp4</t>
  </si>
  <si>
    <t xml:space="preserve">Pengumuman tenggelam di grup WA?</t>
  </si>
  <si>
    <t xml:space="preserve">Pengumuman tenggelam di grup WA? Setuju? Tulis di komentar.</t>
  </si>
  <si>
    <t xml:space="preserve">N38</t>
  </si>
  <si>
    <t xml:space="preserve">marketing/video/set-60/bersih/hrcash-N38-siapa-kerjakan-apa.mp4</t>
  </si>
  <si>
    <t xml:space="preserve">Siapa mengerjakan apa hari ini?</t>
  </si>
  <si>
    <t xml:space="preserve">Siapa mengerjakan apa hari ini? Setuju? Tulis di komentar.</t>
  </si>
  <si>
    <t xml:space="preserve">N39</t>
  </si>
  <si>
    <t xml:space="preserve">marketing/video/set-60/harga/hrcash-N39-struk-reimburse.mp4</t>
  </si>
  <si>
    <t xml:space="preserve">Struk reimburse numpuk di dompet karyawan?</t>
  </si>
  <si>
    <t xml:space="preserve">Struk reimburse numpuk di dompet karyawan? Setuju? Tulis di komentar.</t>
  </si>
  <si>
    <t xml:space="preserve">marketing/video/set-60/bersih/hrcash-N40-data-lima-tempat.mp4</t>
  </si>
  <si>
    <t xml:space="preserve">Data karyawan tersebar di 5 tempat?</t>
  </si>
  <si>
    <t xml:space="preserve">Data karyawan tersebar di 5 tempat? Setuju? Tulis di komentar.</t>
  </si>
  <si>
    <t xml:space="preserve">N41</t>
  </si>
  <si>
    <t xml:space="preserve">marketing/video/set-60/harga/hrcash-N41-owner-liburan.mp4</t>
  </si>
  <si>
    <t xml:space="preserve">Owner liburan. Usaha tetap tertib?</t>
  </si>
  <si>
    <t xml:space="preserve">Owner liburan. Usaha tetap tertib? Setuju? Tulis di komentar.</t>
  </si>
  <si>
    <t xml:space="preserve">N42</t>
  </si>
  <si>
    <t xml:space="preserve">marketing/video/set-60/bersih/hrcash-N42-karyawan-kelima.mp4</t>
  </si>
  <si>
    <t xml:space="preserve">Karyawan ke-5: masih cukup pakai buku?</t>
  </si>
  <si>
    <t xml:space="preserve">Karyawan ke-5: masih cukup pakai buku? Setuju? Tulis di komentar.</t>
  </si>
  <si>
    <t xml:space="preserve">marketing/video/set-60/bersih/hrcash-N43-lupa-pin.mp4</t>
  </si>
  <si>
    <t xml:space="preserve">Lupa PIN? Tenang, ada jalannya.</t>
  </si>
  <si>
    <t xml:space="preserve">Lupa PIN? Tenang, ada jalannya. Setuju? Tulis di komentar.</t>
  </si>
  <si>
    <t xml:space="preserve">N44</t>
  </si>
  <si>
    <t xml:space="preserve">marketing/video/set-60/bersih/hrcash-N44-absen-grup-wa.mp4</t>
  </si>
  <si>
    <t xml:space="preserve">Absen lewat grup WA? Foto, share lokasi, tenggelam.</t>
  </si>
  <si>
    <t xml:space="preserve">Absen lewat grup WA? Foto, share lokasi, tenggelam. Setuju? Tulis di komentar.</t>
  </si>
  <si>
    <t xml:space="preserve">marketing/video/set-60/bersih/hrcash-N45-antre-sidik-jari.mp4</t>
  </si>
  <si>
    <t xml:space="preserve">Antre sidik jari jam 8 pagi? Cukup HP masing-masing.</t>
  </si>
  <si>
    <t xml:space="preserve">Antre sidik jari jam 8 pagi? Cukup HP masing-masing. Setuju? Tulis di komentar.</t>
  </si>
  <si>
    <t xml:space="preserve">N46</t>
  </si>
  <si>
    <t xml:space="preserve">marketing/video/set-60/harga/hrcash-N46-excel-kehapus.mp4</t>
  </si>
  <si>
    <t xml:space="preserve">File Excel absen kehapus tidak sengaja.</t>
  </si>
  <si>
    <t xml:space="preserve">File Excel absen kehapus tidak sengaja. Setuju? Tulis di komentar.</t>
  </si>
  <si>
    <t xml:space="preserve">N47</t>
  </si>
  <si>
    <t xml:space="preserve">marketing/video/set-60/bersih/hrcash-N47-karyawan-lapangan.mp4</t>
  </si>
  <si>
    <t xml:space="preserve">Karyawan lapangan: lokasi tercatat.</t>
  </si>
  <si>
    <t xml:space="preserve">Karyawan lapangan: lokasi tercatat. Setuju? Tulis di komentar.</t>
  </si>
  <si>
    <t xml:space="preserve">N48</t>
  </si>
  <si>
    <t xml:space="preserve">marketing/video/set-60/bersih/hrcash-N48-baru-tiga-karyawan.mp4</t>
  </si>
  <si>
    <t xml:space="preserve">Baru punya 3 karyawan? Justru waktu yang tepat.</t>
  </si>
  <si>
    <t xml:space="preserve">Baru punya 3 karyawan? Justru waktu yang tepat. Setuju? Tulis di komentar.</t>
  </si>
  <si>
    <t xml:space="preserve">N49</t>
  </si>
  <si>
    <t xml:space="preserve">marketing/video/set-60/harga/hrcash-N49-lima-hal-sebelum-beli.mp4</t>
  </si>
  <si>
    <t xml:space="preserve">Sebelum beli aplikasi absen, cek 5 hal ini.</t>
  </si>
  <si>
    <t xml:space="preserve">Sebelum beli aplikasi absen, cek 5 hal ini. Setuju? Tulis di komentar.</t>
  </si>
  <si>
    <t xml:space="preserve">N50</t>
  </si>
  <si>
    <t xml:space="preserve">marketing/video/set-60/bersih/hrcash-N50-digital-vs-sidik-jari.mp4</t>
  </si>
  <si>
    <t xml:space="preserve">Absen digital vs sidik jari: mana untuk UMKM?</t>
  </si>
  <si>
    <t xml:space="preserve">Absen digital vs sidik jari: mana untuk UMKM? Setuju? Tulis di komentar.</t>
  </si>
  <si>
    <t xml:space="preserve">N51</t>
  </si>
  <si>
    <t xml:space="preserve">marketing/video/set-60/harga/hrcash-N51-hari-pertama-setup.mp4</t>
  </si>
  <si>
    <t xml:space="preserve">Hari pertama pakai: 3 langkah saja.</t>
  </si>
  <si>
    <t xml:space="preserve">Hari pertama pakai: 3 langkah saja. Setuju? Tulis di komentar.</t>
  </si>
  <si>
    <t xml:space="preserve">N52</t>
  </si>
  <si>
    <t xml:space="preserve">marketing/video/set-60/bersih/hrcash-N52-setahun-riwayat.mp4</t>
  </si>
  <si>
    <t xml:space="preserve">Setahun lagi, data kehadiran siap dilihat.</t>
  </si>
  <si>
    <t xml:space="preserve">Setahun lagi, data kehadiran siap dilihat. Setuju? Tulis di komentar.</t>
  </si>
  <si>
    <t xml:space="preserve">N53</t>
  </si>
  <si>
    <t xml:space="preserve">marketing/video/set-60/bersih/hrcash-N53-gaji-tepat-betah.mp4</t>
  </si>
  <si>
    <t xml:space="preserve">Gaji tepat waktu, karyawan lebih betah.</t>
  </si>
  <si>
    <t xml:space="preserve">Gaji tepat waktu, karyawan lebih betah. Setuju? Tulis di komentar.</t>
  </si>
  <si>
    <t xml:space="preserve">N54</t>
  </si>
  <si>
    <t xml:space="preserve">marketing/video/set-60/harga/hrcash-N54-tidak-punya-hrd.mp4</t>
  </si>
  <si>
    <t xml:space="preserve">Nggak punya HRD? Tidak masalah.</t>
  </si>
  <si>
    <t xml:space="preserve">Nggak punya HRD? Tidak masalah. Setuju? Tulis di komentar.</t>
  </si>
  <si>
    <t xml:space="preserve">N55</t>
  </si>
  <si>
    <t xml:space="preserve">marketing/video/set-60/bersih/hrcash-N55-tiga-kesalahan-gaji.mp4</t>
  </si>
  <si>
    <t xml:space="preserve">3 kesalahan owner UMKM soal gaji.</t>
  </si>
  <si>
    <t xml:space="preserve">3 kesalahan owner UMKM soal gaji. Setuju? Tulis di komentar.</t>
  </si>
  <si>
    <t xml:space="preserve">N56</t>
  </si>
  <si>
    <t xml:space="preserve">marketing/video/set-60/bersih/hrcash-N56-quiz-menit-urus-absen.mp4</t>
  </si>
  <si>
    <t xml:space="preserve">Quiz: berapa menit kamu urus absen tiap hari?</t>
  </si>
  <si>
    <t xml:space="preserve">Quiz: berapa menit kamu urus absen tiap hari? Setuju? Tulis di komentar.</t>
  </si>
  <si>
    <t xml:space="preserve">N57</t>
  </si>
  <si>
    <t xml:space="preserve">marketing/video/set-60/bersih/hrcash-N57-jangan-lakukan-ini.mp4</t>
  </si>
  <si>
    <t xml:space="preserve">Punya karyawan? Jangan lakukan ini.</t>
  </si>
  <si>
    <t xml:space="preserve">Punya karyawan? Jangan lakukan ini. Setuju? Tulis di komentar.</t>
  </si>
  <si>
    <t xml:space="preserve">N58</t>
  </si>
  <si>
    <t xml:space="preserve">marketing/video/set-60/harga/hrcash-N58-bulan-depan-tanpa-buku.mp4</t>
  </si>
  <si>
    <t xml:space="preserve">Bulan depan, mulai absen tanpa buku.</t>
  </si>
  <si>
    <t xml:space="preserve">Bulan depan, mulai absen tanpa buku. Setuju? Tulis di komentar.</t>
  </si>
  <si>
    <t xml:space="preserve">N59</t>
  </si>
  <si>
    <t xml:space="preserve">marketing/video/set-60/bersih/hrcash-N59-satu-menit-dua-puluh.mp4</t>
  </si>
  <si>
    <t xml:space="preserve">1 menit × 20 karyawan. Berapa lama absen manual?</t>
  </si>
  <si>
    <t xml:space="preserve">1 menit × 20 karyawan. Berapa lama absen manual? Setuju? Tulis di komentar.</t>
  </si>
  <si>
    <t xml:space="preserve">N60</t>
  </si>
  <si>
    <t xml:space="preserve">marketing/video/set-60/harga/hrcash-N60-tidur-tenang-gajian.mp4</t>
  </si>
  <si>
    <t xml:space="preserve">Tanggal gajian tidak lagi menegangkan.</t>
  </si>
  <si>
    <t xml:space="preserve">Tanggal gajian tidak lagi menegangkan. Setuju? Tulis di komentar.</t>
  </si>
  <si>
    <t xml:space="preserve">Reels/TikTok 21-22 dtk (Edukasi)</t>
  </si>
  <si>
    <t xml:space="preserve">marketing/video/set-90/hrcash-E01-cara-hitung-lembur.mp4</t>
  </si>
  <si>
    <t xml:space="preserve">Cara hitung lembur: mulai dari upah sejam</t>
  </si>
  <si>
    <t xml:space="preserve">~21-22 dtk</t>
  </si>
  <si>
    <t xml:space="preserve">Hitung lembur mulai dari upah sejam: upah sebulan dibagi 173. Simpan untuk dihitung ulang. Informasi umum, cek aturan terbaru.</t>
  </si>
  <si>
    <t xml:space="preserve">marketing/video/set-90/hrcash-E02-batas-lembur.mp4</t>
  </si>
  <si>
    <t xml:space="preserve">Lembur itu ada batasnya.</t>
  </si>
  <si>
    <t xml:space="preserve">Lembur ada batas hariannya dan mingguannya. Pastikan jamnya tercatat. Informasi umum, cek aturan terbaru.</t>
  </si>
  <si>
    <t xml:space="preserve">marketing/video/set-90/hrcash-E03-cuti-tahunan-12-hari.mp4</t>
  </si>
  <si>
    <t xml:space="preserve">Cuti tahunan: berapa hari, kapan didapat?</t>
  </si>
  <si>
    <t xml:space="preserve">Cuti tahunan 12 hari setelah 12 bulan kerja terus-menerus. Catat saldo tiap karyawan. Informasi umum.</t>
  </si>
  <si>
    <t xml:space="preserve">marketing/video/set-90/hrcash-E04-thr-hak-karyawan.mp4</t>
  </si>
  <si>
    <t xml:space="preserve">THR: siapa yang berhak, berapa besarnya?</t>
  </si>
  <si>
    <t xml:space="preserve">Dasar hitung THR untuk karyawan dengan masa kerja berbeda. Siapkan dananya sejak awal tahun. Informasi umum, cek aturan terbaru.</t>
  </si>
  <si>
    <t xml:space="preserve">marketing/video/set-90/hrcash-E05-isi-slip-gaji.mp4</t>
  </si>
  <si>
    <t xml:space="preserve">Slip gaji yang baik isinya apa saja?</t>
  </si>
  <si>
    <t xml:space="preserve">Slip gaji yang baik memuat pendapatan, potongan, dan total diterima. Ada yang mau kamu tambahkan?</t>
  </si>
  <si>
    <t xml:space="preserve">marketing/video/set-90/hrcash-E06-lima-cara-kurangi-telat.mp4</t>
  </si>
  <si>
    <t xml:space="preserve">5 cara mengurangi karyawan sering telat</t>
  </si>
  <si>
    <t xml:space="preserve">Lima cara mengurangi karyawan yang sering telat. Mana yang sudah kamu coba? Tulis di komentar.</t>
  </si>
  <si>
    <t xml:space="preserve">marketing/video/set-90/hrcash-E07-checklist-hari-pertama.mp4</t>
  </si>
  <si>
    <t xml:space="preserve">Hari pertama karyawan baru: checklist owner</t>
  </si>
  <si>
    <t xml:space="preserve">Checklist owner untuk hari pertama karyawan baru. Simpan untuk dipakai saat merekrut.</t>
  </si>
  <si>
    <t xml:space="preserve">E08</t>
  </si>
  <si>
    <t xml:space="preserve">marketing/video/set-90/hrcash-E08-kesalahan-rekrut-umkm.mp4</t>
  </si>
  <si>
    <t xml:space="preserve">3 kesalahan UMKM saat merekrut karyawan</t>
  </si>
  <si>
    <t xml:space="preserve">Tiga kesalahan yang sering terjadi saat UMKM merekrut. Pernah mengalami? Ceritakan di komentar.</t>
  </si>
  <si>
    <t xml:space="preserve">E09</t>
  </si>
  <si>
    <t xml:space="preserve">marketing/video/set-90/hrcash-E09-tegur-karyawan-telat.mp4</t>
  </si>
  <si>
    <t xml:space="preserve">Menegur karyawan telat tanpa bikin tersinggung</t>
  </si>
  <si>
    <t xml:space="preserve">Menegur dengan data dan mendengar dulu membuat hasilnya lebih baik. Bagikan ke owner yang sedang bingung.</t>
  </si>
  <si>
    <t xml:space="preserve">E10</t>
  </si>
  <si>
    <t xml:space="preserve">marketing/video/set-90/hrcash-E10-slip-gaji-kepercayaan.mp4</t>
  </si>
  <si>
    <t xml:space="preserve">Slip gaji itu soal kepercayaan, bukan sekadar kertas</t>
  </si>
  <si>
    <t xml:space="preserve">Slip gaji bukan sekadar kertas, tapi bentuk transparansi. Setuju?</t>
  </si>
  <si>
    <t xml:space="preserve">E11</t>
  </si>
  <si>
    <t xml:space="preserve">marketing/video/set-90/hrcash-E11-mitos-tidak-percaya.mp4</t>
  </si>
  <si>
    <t xml:space="preserve">Mitos: absen digital berarti tidak percaya karyawan</t>
  </si>
  <si>
    <t xml:space="preserve">Catatan yang jelas melindungi dua pihak, bukan tanda tidak percaya. Pendapatmu?</t>
  </si>
  <si>
    <t xml:space="preserve">E12</t>
  </si>
  <si>
    <t xml:space="preserve">marketing/video/set-90/hrcash-E12-tiga-hal-calon-karyawan.mp4</t>
  </si>
  <si>
    <t xml:space="preserve">3 hal yang dilihat calon karyawan dari usahamu</t>
  </si>
  <si>
    <t xml:space="preserve">Calon karyawan menilai usahamu dari hal-hal kecil. Tiga hal ini yang paling sering dicek.</t>
  </si>
  <si>
    <t xml:space="preserve">E13</t>
  </si>
  <si>
    <t xml:space="preserve">marketing/video/set-90/hrcash-E13-aturan-kehadiran-tertulis.mp4</t>
  </si>
  <si>
    <t xml:space="preserve">Aturan kehadiran: tulis, jangan hanya lisan</t>
  </si>
  <si>
    <t xml:space="preserve">Aturan kehadiran sebaiknya tertulis dan dijalankan konsisten. Simpan checklist ini.</t>
  </si>
  <si>
    <t xml:space="preserve">E14</t>
  </si>
  <si>
    <t xml:space="preserve">marketing/video/set-90/hrcash-E14-gaji-pokok-vs-tunjangan.mp4</t>
  </si>
  <si>
    <t xml:space="preserve">Gaji pokok, tunjangan tetap, tunjangan tidak tetap: apa bedanya?</t>
  </si>
  <si>
    <t xml:space="preserve">Bedanya gaji pokok, tunjangan tetap, dan tunjangan tidak tetap. Informasi umum, cek ketentuan terbaru.</t>
  </si>
  <si>
    <t xml:space="preserve">E15</t>
  </si>
  <si>
    <t xml:space="preserve">marketing/video/set-90/hrcash-E15-lembur-rotasi-adil.mp4</t>
  </si>
  <si>
    <t xml:space="preserve">Lembur selalu orang yang sama? Coba atur rotasi</t>
  </si>
  <si>
    <t xml:space="preserve">Lembur yang adil dimulai dari pencatatan dan rotasi. Pernah merasakan sendiri?</t>
  </si>
  <si>
    <t xml:space="preserve">Reels/TikTok 21-22 dtk (Promosi)</t>
  </si>
  <si>
    <t xml:space="preserve">marketing/video/set-90/hrcash-E16-hrcash-dua-puluh-detik.mp4</t>
  </si>
  <si>
    <t xml:space="preserve">HrCash dalam 20 detik.</t>
  </si>
  <si>
    <t xml:space="preserve">Tur singkat HrCash: PIN, lokasi, selfie, selesai. Mau tahu lebih banyak? Tulis di komentar.</t>
  </si>
  <si>
    <t xml:space="preserve">marketing/video/set-90/hrcash-E17-isi-portal-karyawan.mp4</t>
  </si>
  <si>
    <t xml:space="preserve">Isi Portal Karyawan: 12 menu di satu HP</t>
  </si>
  <si>
    <t xml:space="preserve">Isi Portal Karyawan HrCash ada 12 menu. Menu mana yang paling kamu butuhkan?</t>
  </si>
  <si>
    <t xml:space="preserve">marketing/video/set-90/hrcash-E18-cara-kerja-selfie-lokasi.mp4</t>
  </si>
  <si>
    <t xml:space="preserve">Absen selfie + lokasi: begini cara kerjanya</t>
  </si>
  <si>
    <t xml:space="preserve">Begini cara kerja absen selfie dan lokasi. Ada pertanyaan? Tanya di komentar.</t>
  </si>
  <si>
    <t xml:space="preserve">marketing/video/set-90/hrcash-E19-mulai-tanpa-install.mp4</t>
  </si>
  <si>
    <t xml:space="preserve">Karyawan mulai absen tanpa install</t>
  </si>
  <si>
    <t xml:space="preserve">Karyawan mulai absen tanpa install aplikasi. Cukup buka link di HP.</t>
  </si>
  <si>
    <t xml:space="preserve">marketing/video/set-90/hrcash-E20-slip-digital-karyawan.mp4</t>
  </si>
  <si>
    <t xml:space="preserve">Slip gaji digital untuk karyawan</t>
  </si>
  <si>
    <t xml:space="preserve">Slip gaji digital yang dibuka karyawan sendiri. Tanpa kirim satu per satu.</t>
  </si>
  <si>
    <t xml:space="preserve">marketing/video/set-90/hrcash-E21-untuk-siapa-hrcash.mp4</t>
  </si>
  <si>
    <t xml:space="preserve">HrCash cocok untuk usaha seperti apa?</t>
  </si>
  <si>
    <t xml:space="preserve">HrCash cocok untuk usaha kecil yang ingin tertata. Usahamu termasuk yang mana?</t>
  </si>
  <si>
    <t xml:space="preserve">E22</t>
  </si>
  <si>
    <t xml:space="preserve">marketing/video/set-90/hrcash-E22-sehari-bersama-hrcash.mp4</t>
  </si>
  <si>
    <t xml:space="preserve">Sehari bersama HrCash: dari pagi sampai gajian</t>
  </si>
  <si>
    <t xml:space="preserve">Sehari bersama HrCash, dari absen pagi sampai gajian. Ada yang mau ditambahkan?</t>
  </si>
  <si>
    <t xml:space="preserve">E23</t>
  </si>
  <si>
    <t xml:space="preserve">marketing/video/set-90/hrcash-E23-faq-owner.mp4</t>
  </si>
  <si>
    <t xml:space="preserve">Pertanyaan owner yang paling sering</t>
  </si>
  <si>
    <t xml:space="preserve">Pertanyaan owner yang paling sering ditanyakan, dijawab singkat.</t>
  </si>
  <si>
    <t xml:space="preserve">E24</t>
  </si>
  <si>
    <t xml:space="preserve">marketing/video/set-90/hrcash-E24-lembur-dari-hp.mp4</t>
  </si>
  <si>
    <t xml:space="preserve">Mengajukan lembur cukup dari HP</t>
  </si>
  <si>
    <t xml:space="preserve">Mengajukan lembur dari HP supaya tercatat sejak awal.</t>
  </si>
  <si>
    <t xml:space="preserve">E25</t>
  </si>
  <si>
    <t xml:space="preserve">marketing/video/set-90/hrcash-E25-cek-sisa-cuti-sendiri.mp4</t>
  </si>
  <si>
    <t xml:space="preserve">Cek sisa cuti tanpa bertanya ke HRD</t>
  </si>
  <si>
    <t xml:space="preserve">Cek sisa cuti sendiri tanpa harus bertanya ke HRD.</t>
  </si>
  <si>
    <t xml:space="preserve">E26</t>
  </si>
  <si>
    <t xml:space="preserve">marketing/video/set-90/hrcash-E26-peta-bukti-lokasi.mp4</t>
  </si>
  <si>
    <t xml:space="preserve">Peta menunjukkan lokasi absen.</t>
  </si>
  <si>
    <t xml:space="preserve">Peta menunjukkan lokasi saat absen, ditambah selfie sebagai bukti.</t>
  </si>
  <si>
    <t xml:space="preserve">E27</t>
  </si>
  <si>
    <t xml:space="preserve">marketing/video/set-90/hrcash-E27-setup-lima-karyawan.mp4</t>
  </si>
  <si>
    <t xml:space="preserve">Setup untuk 5 karyawan: 3 langkah saja</t>
  </si>
  <si>
    <t xml:space="preserve">Setup HrCash untuk 5 karyawan hanya 3 langkah.</t>
  </si>
  <si>
    <t xml:space="preserve">Reels/TikTok 21-22 dtk (Format populer)</t>
  </si>
  <si>
    <t xml:space="preserve">marketing/video/set-90/hrcash-E28-red-flag-gaji.mp4</t>
  </si>
  <si>
    <t xml:space="preserve">Red flag soal gaji di tempat kerja</t>
  </si>
  <si>
    <t xml:space="preserve">Red flag dan green flag soal gaji di tempat kerja. Pernah menemukan yang mana?</t>
  </si>
  <si>
    <t xml:space="preserve">marketing/video/set-90/hrcash-E29-quiz-hr-173.mp4</t>
  </si>
  <si>
    <t xml:space="preserve">Quiz HR: angka 173 itu apa?</t>
  </si>
  <si>
    <t xml:space="preserve">Quiz HR: angka 173 itu apa? Jawab di komentar sebelum menonton sampai habis. Informasi umum.</t>
  </si>
  <si>
    <t xml:space="preserve">marketing/video/set-90/hrcash-E30-checklist-awal-tahun-owner.mp4</t>
  </si>
  <si>
    <t xml:space="preserve">Checklist awal tahun untuk owner UMKM</t>
  </si>
  <si>
    <t xml:space="preserve">Checklist awal tahun untuk owner UMKM. Simpan dan centang satu per satu.</t>
  </si>
  <si>
    <t xml:space="preserve">Reels/TikTok 20-25 dtk (batch 3)</t>
  </si>
  <si>
    <t xml:space="preserve">marketing/video/set-120/hrcash-F01-jadwal-shift-adil.mp4</t>
  </si>
  <si>
    <t xml:space="preserve">Jadwal shift yang adil: 3 aturan dasar</t>
  </si>
  <si>
    <t xml:space="preserve">~20-23 dtk</t>
  </si>
  <si>
    <t xml:space="preserve">Jadwal shift yang adil: 3 aturan dasar Setuju? Tulis di komentar.</t>
  </si>
  <si>
    <t xml:space="preserve">Tanpa harga/kontak. Konten hukum: informasi umum, cek aturan terbaru.</t>
  </si>
  <si>
    <t xml:space="preserve">marketing/video/set-120/hrcash-F02-feedback-rumus-sbi.mp4</t>
  </si>
  <si>
    <t xml:space="preserve">Memberi feedback: pakai rumus SBI</t>
  </si>
  <si>
    <t xml:space="preserve">Memberi feedback: pakai rumus SBI Setuju? Tulis di komentar.</t>
  </si>
  <si>
    <t xml:space="preserve">marketing/video/set-120/hrcash-F03-satu-satu-bulanan.mp4</t>
  </si>
  <si>
    <t xml:space="preserve">1-on-1 sebulan sekali: bahas apa saja?</t>
  </si>
  <si>
    <t xml:space="preserve">1-on-1 sebulan sekali: bahas apa saja? Setuju? Tulis di komentar.</t>
  </si>
  <si>
    <t xml:space="preserve">marketing/video/set-120/hrcash-F04-apresiasi-tanpa-bonus.mp4</t>
  </si>
  <si>
    <t xml:space="preserve">Apresiasi tanpa bonus besar: 4 cara murah</t>
  </si>
  <si>
    <t xml:space="preserve">Apresiasi tanpa bonus besar: 4 cara murah Setuju? Tulis di komentar.</t>
  </si>
  <si>
    <t xml:space="preserve">marketing/video/set-120/hrcash-F05-tanda-mulai-tidak-betah.mp4</t>
  </si>
  <si>
    <t xml:space="preserve">Tanda karyawan mulai tidak betah</t>
  </si>
  <si>
    <t xml:space="preserve">Tanda karyawan mulai tidak betah Setuju? Tulis di komentar.</t>
  </si>
  <si>
    <t xml:space="preserve">marketing/video/set-120/hrcash-F06-exit-interview.mp4</t>
  </si>
  <si>
    <t xml:space="preserve">Exit interview: 4 pertanyaan penting</t>
  </si>
  <si>
    <t xml:space="preserve">Exit interview: 4 pertanyaan penting Setuju? Tulis di komentar.</t>
  </si>
  <si>
    <t xml:space="preserve">F07</t>
  </si>
  <si>
    <t xml:space="preserve">marketing/video/set-120/hrcash-F07-onboarding-30-hari.mp4</t>
  </si>
  <si>
    <t xml:space="preserve">Onboarding 30 hari: rencana singkat</t>
  </si>
  <si>
    <t xml:space="preserve">Onboarding 30 hari: rencana singkat Setuju? Tulis di komentar.</t>
  </si>
  <si>
    <t xml:space="preserve">F08</t>
  </si>
  <si>
    <t xml:space="preserve">marketing/video/set-120/hrcash-F08-tolak-naik-gaji-sopan.mp4</t>
  </si>
  <si>
    <t xml:space="preserve">Menolak permintaan naik gaji? Jawab jujur dan jelas</t>
  </si>
  <si>
    <t xml:space="preserve">Menolak permintaan naik gaji? Jawab jujur dan jelas Setuju? Tulis di komentar.</t>
  </si>
  <si>
    <t xml:space="preserve">F09</t>
  </si>
  <si>
    <t xml:space="preserve">marketing/video/set-120/hrcash-F09-delegasi-tiga-tingkat.mp4</t>
  </si>
  <si>
    <t xml:space="preserve">Delegasi bertahap: 3 tingkat kepercayaan</t>
  </si>
  <si>
    <t xml:space="preserve">Delegasi bertahap: 3 tingkat kepercayaan Setuju? Tulis di komentar.</t>
  </si>
  <si>
    <t xml:space="preserve">F10</t>
  </si>
  <si>
    <t xml:space="preserve">marketing/video/set-120/hrcash-F10-rapat-pagi-sepuluh-menit.mp4</t>
  </si>
  <si>
    <t xml:space="preserve">Rapat pagi 10 menit: 3 pertanyaan saja</t>
  </si>
  <si>
    <t xml:space="preserve">Rapat pagi 10 menit: 3 pertanyaan saja Setuju? Tulis di komentar.</t>
  </si>
  <si>
    <t xml:space="preserve">F11</t>
  </si>
  <si>
    <t xml:space="preserve">marketing/video/set-120/hrcash-F11-sop-satu-halaman.mp4</t>
  </si>
  <si>
    <t xml:space="preserve">SOP satu halaman: isi apa saja?</t>
  </si>
  <si>
    <t xml:space="preserve">SOP satu halaman: isi apa saja? Setuju? Tulis di komentar.</t>
  </si>
  <si>
    <t xml:space="preserve">F12</t>
  </si>
  <si>
    <t xml:space="preserve">marketing/video/set-120/hrcash-F12-nilai-kinerja-sederhana.mp4</t>
  </si>
  <si>
    <t xml:space="preserve">Menilai kinerja: 3 indikator sederhana</t>
  </si>
  <si>
    <t xml:space="preserve">Menilai kinerja: 3 indikator sederhana Setuju? Tulis di komentar.</t>
  </si>
  <si>
    <t xml:space="preserve">F13</t>
  </si>
  <si>
    <t xml:space="preserve">marketing/video/set-120/hrcash-F13-nilai-budaya-tim.mp4</t>
  </si>
  <si>
    <t xml:space="preserve">Budaya tim: 3 nilai yang cukup</t>
  </si>
  <si>
    <t xml:space="preserve">Budaya tim: 3 nilai yang cukup Setuju? Tulis di komentar.</t>
  </si>
  <si>
    <t xml:space="preserve">F14</t>
  </si>
  <si>
    <t xml:space="preserve">marketing/video/set-120/hrcash-F14-karyawan-pasif.mp4</t>
  </si>
  <si>
    <t xml:space="preserve">Karyawan pasif? 3 langkah mengajak</t>
  </si>
  <si>
    <t xml:space="preserve">Karyawan pasif? 3 langkah mengajak Setuju? Tulis di komentar.</t>
  </si>
  <si>
    <t xml:space="preserve">F15</t>
  </si>
  <si>
    <t xml:space="preserve">marketing/video/set-120/hrcash-F15-rekrut-lewat-referral.mp4</t>
  </si>
  <si>
    <t xml:space="preserve">Rekrut lewat referral: untung dan ruginya</t>
  </si>
  <si>
    <t xml:space="preserve">Rekrut lewat referral: untung dan ruginya Setuju? Tulis di komentar.</t>
  </si>
  <si>
    <t xml:space="preserve">F16</t>
  </si>
  <si>
    <t xml:space="preserve">marketing/video/set-120/hrcash-F16-lowongan-kerja-menarik.mp4</t>
  </si>
  <si>
    <t xml:space="preserve">Lowongan kerja menarik: 5 bagian wajib</t>
  </si>
  <si>
    <t xml:space="preserve">Lowongan kerja menarik: 5 bagian wajib Setuju? Tulis di komentar.</t>
  </si>
  <si>
    <t xml:space="preserve">F17</t>
  </si>
  <si>
    <t xml:space="preserve">marketing/video/set-120/hrcash-F17-wawancara-calon-kasir.mp4</t>
  </si>
  <si>
    <t xml:space="preserve">Wawancara calon kasir: 4 pertanyaan</t>
  </si>
  <si>
    <t xml:space="preserve">Wawancara calon kasir: 4 pertanyaan Setuju? Tulis di komentar.</t>
  </si>
  <si>
    <t xml:space="preserve">F18</t>
  </si>
  <si>
    <t xml:space="preserve">marketing/video/set-120/hrcash-F18-training-video-satu-menit.mp4</t>
  </si>
  <si>
    <t xml:space="preserve">Latih karyawan baru lewat video 1 menit</t>
  </si>
  <si>
    <t xml:space="preserve">Latih karyawan baru lewat video 1 menit Setuju? Tulis di komentar.</t>
  </si>
  <si>
    <t xml:space="preserve">F19</t>
  </si>
  <si>
    <t xml:space="preserve">marketing/video/set-120/hrcash-F19-saat-ramai-bagi-tugas.mp4</t>
  </si>
  <si>
    <t xml:space="preserve">Saat ramai: cara membagi tugas tim</t>
  </si>
  <si>
    <t xml:space="preserve">Saat ramai: cara membagi tugas tim Setuju? Tulis di komentar.</t>
  </si>
  <si>
    <t xml:space="preserve">F20</t>
  </si>
  <si>
    <t xml:space="preserve">marketing/video/set-120/hrcash-F20-aturan-libur-izin.mp4</t>
  </si>
  <si>
    <t xml:space="preserve">Aturan libur dan izin: jelaskan dari awal</t>
  </si>
  <si>
    <t xml:space="preserve">Aturan libur dan izin: jelaskan dari awal Setuju? Tulis di komentar.</t>
  </si>
  <si>
    <t xml:space="preserve">marketing/video/set-120/hrcash-F21-pov-macet-pak.mp4</t>
  </si>
  <si>
    <t xml:space="preserve">POV: Karyawan chat 'macet, Pak' jam 8 lewat 5</t>
  </si>
  <si>
    <t xml:space="preserve">POV: Karyawan chat 'macet, Pak' jam 8 lewat 5 Setuju? Tulis di komentar.</t>
  </si>
  <si>
    <t xml:space="preserve">marketing/video/set-120/hrcash-F22-tipe-karyawan-gajian.mp4</t>
  </si>
  <si>
    <t xml:space="preserve">Tipe karyawan saat tanggal gajian</t>
  </si>
  <si>
    <t xml:space="preserve">Tipe karyawan saat tanggal gajian Setuju? Tulis di komentar.</t>
  </si>
  <si>
    <t xml:space="preserve">marketing/video/set-120/hrcash-F23-tipe-owner-tanggal-25.mp4</t>
  </si>
  <si>
    <t xml:space="preserve">Tipe owner saat tanggal 25</t>
  </si>
  <si>
    <t xml:space="preserve">Tipe owner saat tanggal 25 Setuju? Tulis di komentar.</t>
  </si>
  <si>
    <t xml:space="preserve">marketing/video/set-120/hrcash-F24-owner-jam-dua-pagi.mp4</t>
  </si>
  <si>
    <t xml:space="preserve">Yang dipikirkan owner jam 2 pagi</t>
  </si>
  <si>
    <t xml:space="preserve">Yang dipikirkan owner jam 2 pagi Setuju? Tulis di komentar.</t>
  </si>
  <si>
    <t xml:space="preserve">marketing/video/set-120/hrcash-F25-owner-vs-excel-absen.mp4</t>
  </si>
  <si>
    <t xml:space="preserve">Owner vs file Excel absen</t>
  </si>
  <si>
    <t xml:space="preserve">Owner vs file Excel absen Setuju? Tulis di komentar.</t>
  </si>
  <si>
    <t xml:space="preserve">marketing/video/set-120/hrcash-F26-alasan-telat-populer.mp4</t>
  </si>
  <si>
    <t xml:space="preserve">Alasan telat paling populer</t>
  </si>
  <si>
    <t xml:space="preserve">Alasan telat paling populer Setuju? Tulis di komentar.</t>
  </si>
  <si>
    <t xml:space="preserve">F27</t>
  </si>
  <si>
    <t xml:space="preserve">marketing/video/set-120/hrcash-F27-hal-tidak-diajarkan-usaha.mp4</t>
  </si>
  <si>
    <t xml:space="preserve">Hal yang tidak diajarkan saat mulai usaha</t>
  </si>
  <si>
    <t xml:space="preserve">Hal yang tidak diajarkan saat mulai usaha Setuju? Tulis di komentar.</t>
  </si>
  <si>
    <t xml:space="preserve">F28</t>
  </si>
  <si>
    <t xml:space="preserve">marketing/video/set-120/hrcash-F28-ekspektasi-vs-realita-karyawan.mp4</t>
  </si>
  <si>
    <t xml:space="preserve">Ekspektasi vs realita: mengurus karyawan</t>
  </si>
  <si>
    <t xml:space="preserve">Ekspektasi vs realita: mengurus karyawan Setuju? Tulis di komentar.</t>
  </si>
  <si>
    <t xml:space="preserve">F29</t>
  </si>
  <si>
    <t xml:space="preserve">marketing/video/set-120/hrcash-F29-this-or-that-absen.mp4</t>
  </si>
  <si>
    <t xml:space="preserve">This or that: absen kertas atau absen HP?</t>
  </si>
  <si>
    <t xml:space="preserve">This or that: absen kertas atau absen HP? Setuju? Tulis di komentar.</t>
  </si>
  <si>
    <t xml:space="preserve">F30</t>
  </si>
  <si>
    <t xml:space="preserve">marketing/video/set-120/hrcash-F30-kalimat-owner-saat-gajian.mp4</t>
  </si>
  <si>
    <t xml:space="preserve">Kalimat yang sering diucapkan owner saat gajian</t>
  </si>
  <si>
    <t xml:space="preserve">Kalimat yang sering diucapkan owner saat gajian Setuju? Tulis di komentar.</t>
  </si>
  <si>
    <t xml:space="preserve">F31</t>
  </si>
  <si>
    <t xml:space="preserve">marketing/video/set-120/hrcash-F31-sehari-owner-kafe.mp4</t>
  </si>
  <si>
    <t xml:space="preserve">Sehari owner kafe: dari buka sampai tutup</t>
  </si>
  <si>
    <t xml:space="preserve">Sehari owner kafe: dari buka sampai tutup Setuju? Tulis di komentar.</t>
  </si>
  <si>
    <t xml:space="preserve">F32</t>
  </si>
  <si>
    <t xml:space="preserve">marketing/video/set-120/hrcash-F32-jangan-ucapkan-ke-karyawan.mp4</t>
  </si>
  <si>
    <t xml:space="preserve">Kalimat yang sebaiknya tidak diucapkan ke karyawan</t>
  </si>
  <si>
    <t xml:space="preserve">Kalimat yang sebaiknya tidak diucapkan ke karyawan Setuju? Tulis di komentar.</t>
  </si>
  <si>
    <t xml:space="preserve">F33</t>
  </si>
  <si>
    <t xml:space="preserve">marketing/video/set-120/hrcash-F33-stres-tutup-bulan-urutan.mp4</t>
  </si>
  <si>
    <t xml:space="preserve">Stres tutup bulan? Coba urutan ini</t>
  </si>
  <si>
    <t xml:space="preserve">Stres tutup bulan? Coba urutan ini Setuju? Tulis di komentar.</t>
  </si>
  <si>
    <t xml:space="preserve">F34</t>
  </si>
  <si>
    <t xml:space="preserve">marketing/video/set-120/hrcash-F34-hari-pertama-jadi-owner.mp4</t>
  </si>
  <si>
    <t xml:space="preserve">Hari pertama jadi owner: yang mengejutkan</t>
  </si>
  <si>
    <t xml:space="preserve">Hari pertama jadi owner: yang mengejutkan Setuju? Tulis di komentar.</t>
  </si>
  <si>
    <t xml:space="preserve">F35</t>
  </si>
  <si>
    <t xml:space="preserve">marketing/video/set-120/hrcash-F35-quiz-owner-tipe.mp4</t>
  </si>
  <si>
    <t xml:space="preserve">Quiz: kamu owner tipe apa? A, B, atau C</t>
  </si>
  <si>
    <t xml:space="preserve">Quiz: kamu owner tipe apa? A, B, atau C Setuju? Tulis di komentar.</t>
  </si>
  <si>
    <t xml:space="preserve">marketing/video/set-120/hrcash-F36-niche-warung-makan.mp4</t>
  </si>
  <si>
    <t xml:space="preserve">Punya warung makan? Begini absen karyawannya</t>
  </si>
  <si>
    <t xml:space="preserve">Punya warung makan? Begini absen karyawannya Setuju? Tulis di komentar.</t>
  </si>
  <si>
    <t xml:space="preserve">marketing/video/set-120/hrcash-F37-niche-kafe.mp4</t>
  </si>
  <si>
    <t xml:space="preserve">Punya kafe? Yang paling sering bikin pusing</t>
  </si>
  <si>
    <t xml:space="preserve">Punya kafe? Yang paling sering bikin pusing Setuju? Tulis di komentar.</t>
  </si>
  <si>
    <t xml:space="preserve">marketing/video/set-120/hrcash-F38-niche-salon.mp4</t>
  </si>
  <si>
    <t xml:space="preserve">Punya salon? Atur kapster tanpa ribet</t>
  </si>
  <si>
    <t xml:space="preserve">Punya salon? Atur kapster tanpa ribet Setuju? Tulis di komentar.</t>
  </si>
  <si>
    <t xml:space="preserve">marketing/video/set-120/hrcash-F39-niche-bengkel.mp4</t>
  </si>
  <si>
    <t xml:space="preserve">Punya bengkel? Pantau tim tanpa menelepon</t>
  </si>
  <si>
    <t xml:space="preserve">Punya bengkel? Pantau tim tanpa menelepon Setuju? Tulis di komentar.</t>
  </si>
  <si>
    <t xml:space="preserve">marketing/video/set-120/hrcash-F40-niche-laundry.mp4</t>
  </si>
  <si>
    <t xml:space="preserve">Punya laundry? Atur shift dan lembur dengan rapi</t>
  </si>
  <si>
    <t xml:space="preserve">Punya laundry? Atur shift dan lembur dengan rapi Setuju? Tulis di komentar.</t>
  </si>
  <si>
    <t xml:space="preserve">marketing/video/set-120/hrcash-F41-niche-toko-online.mp4</t>
  </si>
  <si>
    <t xml:space="preserve">Punya toko online? Tim gudang dan admin tetap tertata</t>
  </si>
  <si>
    <t xml:space="preserve">Punya toko online? Tim gudang dan admin tetap tertata Setuju? Tulis di komentar.</t>
  </si>
  <si>
    <t xml:space="preserve">F42</t>
  </si>
  <si>
    <t xml:space="preserve">marketing/video/set-120/hrcash-F42-tiga-alasan-absen-link.mp4</t>
  </si>
  <si>
    <t xml:space="preserve">3 alasan absen via link lebih praktis</t>
  </si>
  <si>
    <t xml:space="preserve">3 alasan absen via link lebih praktis Setuju? Tulis di komentar.</t>
  </si>
  <si>
    <t xml:space="preserve">F43</t>
  </si>
  <si>
    <t xml:space="preserve">marketing/video/set-120/hrcash-F43-kenapa-pin-empat-angka.mp4</t>
  </si>
  <si>
    <t xml:space="preserve">Kenapa PIN-nya cuma 4 angka?</t>
  </si>
  <si>
    <t xml:space="preserve">Kenapa PIN-nya cuma 4 angka? Setuju? Tulis di komentar.</t>
  </si>
  <si>
    <t xml:space="preserve">F44</t>
  </si>
  <si>
    <t xml:space="preserve">marketing/video/set-120/hrcash-F44-pindah-kertas-ke-digital.mp4</t>
  </si>
  <si>
    <t xml:space="preserve">Pindah dari kertas ke digital: 3 langkah</t>
  </si>
  <si>
    <t xml:space="preserve">Pindah dari kertas ke digital: 3 langkah Setuju? Tulis di komentar.</t>
  </si>
  <si>
    <t xml:space="preserve">F45</t>
  </si>
  <si>
    <t xml:space="preserve">marketing/video/set-120/hrcash-F45-yang-tercatat-saat-absen.mp4</t>
  </si>
  <si>
    <t xml:space="preserve">Saat karyawan absen, apa saja yang tercatat?</t>
  </si>
  <si>
    <t xml:space="preserve">Saat karyawan absen, apa saja yang tercatat? Setuju? Tulis di komentar.</t>
  </si>
  <si>
    <t xml:space="preserve">F46</t>
  </si>
  <si>
    <t xml:space="preserve">marketing/video/set-120/hrcash-F46-mitos-absen-digital-ribet.mp4</t>
  </si>
  <si>
    <t xml:space="preserve">Mitos: absen digital itu ribet</t>
  </si>
  <si>
    <t xml:space="preserve">Mitos: absen digital itu ribet Setuju? Tulis di komentar.</t>
  </si>
  <si>
    <t xml:space="preserve">F47</t>
  </si>
  <si>
    <t xml:space="preserve">marketing/video/set-120/hrcash-F47-portal-vs-grup-wa.mp4</t>
  </si>
  <si>
    <t xml:space="preserve">Portal Karyawan vs grup WA</t>
  </si>
  <si>
    <t xml:space="preserve">Portal Karyawan vs grup WA Setuju? Tulis di komentar.</t>
  </si>
  <si>
    <t xml:space="preserve">F48</t>
  </si>
  <si>
    <t xml:space="preserve">marketing/video/set-120/hrcash-F48-fitur-jadwal-kerja.mp4</t>
  </si>
  <si>
    <t xml:space="preserve">Fitur Jadwal Kerja: cek shift dari HP</t>
  </si>
  <si>
    <t xml:space="preserve">Fitur Jadwal Kerja: cek shift dari HP Setuju? Tulis di komentar.</t>
  </si>
  <si>
    <t xml:space="preserve">F49</t>
  </si>
  <si>
    <t xml:space="preserve">marketing/video/set-120/hrcash-F49-laporan-gaji-dari-data.mp4</t>
  </si>
  <si>
    <t xml:space="preserve">Laporan gaji dari data absen</t>
  </si>
  <si>
    <t xml:space="preserve">Laporan gaji dari data absen Setuju? Tulis di komentar.</t>
  </si>
  <si>
    <t xml:space="preserve">F50</t>
  </si>
  <si>
    <t xml:space="preserve">marketing/video/set-120/hrcash-F50-untungnya-bagi-karyawan.mp4</t>
  </si>
  <si>
    <t xml:space="preserve">Apa untungnya HrCash bagi karyawan?</t>
  </si>
  <si>
    <t xml:space="preserve">Apa untungnya HrCash bagi karyawan? Setuju? Tulis di komentar.</t>
  </si>
  <si>
    <t xml:space="preserve">marketing/video/set-120/hrcash-F51-apa-itu-umk.mp4</t>
  </si>
  <si>
    <t xml:space="preserve">Apa itu UMK? Penjelasan singkat</t>
  </si>
  <si>
    <t xml:space="preserve">Apa itu UMK? Penjelasan singkat Setuju? Tulis di komentar.</t>
  </si>
  <si>
    <t xml:space="preserve">marketing/video/set-120/hrcash-F52-pkwt-vs-pkwtt.mp4</t>
  </si>
  <si>
    <t xml:space="preserve">PKWT vs PKWTT: apa bedanya?</t>
  </si>
  <si>
    <t xml:space="preserve">PKWT vs PKWTT: apa bedanya? Setuju? Tulis di komentar.</t>
  </si>
  <si>
    <t xml:space="preserve">marketing/video/set-120/hrcash-F53-bpjs-ketenagakerjaan-garis-besar.mp4</t>
  </si>
  <si>
    <t xml:space="preserve">BPJS Ketenagakerjaan: garis besarnya</t>
  </si>
  <si>
    <t xml:space="preserve">BPJS Ketenagakerjaan: garis besarnya Setuju? Tulis di komentar.</t>
  </si>
  <si>
    <t xml:space="preserve">marketing/video/set-120/hrcash-F54-gaji-bruto-vs-neto.mp4</t>
  </si>
  <si>
    <t xml:space="preserve">Gaji bruto vs neto: apa bedanya?</t>
  </si>
  <si>
    <t xml:space="preserve">Gaji bruto vs neto: apa bedanya? Setuju? Tulis di komentar.</t>
  </si>
  <si>
    <t xml:space="preserve">marketing/video/set-120/hrcash-F55-masa-percobaan-jelas.mp4</t>
  </si>
  <si>
    <t xml:space="preserve">Masa percobaan: hal yang perlu jelas</t>
  </si>
  <si>
    <t xml:space="preserve">Masa percobaan: hal yang perlu jelas Setuju? Tulis di komentar.</t>
  </si>
  <si>
    <t xml:space="preserve">marketing/video/set-120/hrcash-F56-izin-sakit-cuti-dibedakan.mp4</t>
  </si>
  <si>
    <t xml:space="preserve">Izin, sakit, cuti: bedakan pencatatannya</t>
  </si>
  <si>
    <t xml:space="preserve">Izin, sakit, cuti: bedakan pencatatannya Setuju? Tulis di komentar.</t>
  </si>
  <si>
    <t xml:space="preserve">F57</t>
  </si>
  <si>
    <t xml:space="preserve">marketing/video/set-120/hrcash-F57-lembur-vs-shift-tambahan.mp4</t>
  </si>
  <si>
    <t xml:space="preserve">Lembur vs shift tambahan: jangan tertukar</t>
  </si>
  <si>
    <t xml:space="preserve">Lembur vs shift tambahan: jangan tertukar Setuju? Tulis di komentar.</t>
  </si>
  <si>
    <t xml:space="preserve">F58</t>
  </si>
  <si>
    <t xml:space="preserve">marketing/video/set-120/hrcash-F58-thr-bukan-bonus.mp4</t>
  </si>
  <si>
    <t xml:space="preserve">THR dan bonus: apa bedanya?</t>
  </si>
  <si>
    <t xml:space="preserve">THR dan bonus: apa bedanya? Setuju? Tulis di komentar.</t>
  </si>
  <si>
    <t xml:space="preserve">F59</t>
  </si>
  <si>
    <t xml:space="preserve">marketing/video/set-120/hrcash-F59-arsip-dokumen-karyawan.mp4</t>
  </si>
  <si>
    <t xml:space="preserve">Arsip dokumen karyawan: apa yang disimpan?</t>
  </si>
  <si>
    <t xml:space="preserve">Arsip dokumen karyawan: apa yang disimpan? Setuju? Tulis di komentar.</t>
  </si>
  <si>
    <t xml:space="preserve">F60</t>
  </si>
  <si>
    <t xml:space="preserve">marketing/video/set-120/hrcash-F60-hak-kewajiban-satu-lembar.mp4</t>
  </si>
  <si>
    <t xml:space="preserve">Hak dan kewajiban: tulis dalam satu lembar</t>
  </si>
  <si>
    <t xml:space="preserve">Hak dan kewajiban: tulis dalam satu lembar Setuju? Tulis di komentar.</t>
  </si>
  <si>
    <t xml:space="preserve">Carousel 3 gambar (IG 4:5)</t>
  </si>
  <si>
    <t xml:space="preserve">marketing/instagram/ig-carousel-konten-1/slide-1..3.png</t>
  </si>
  <si>
    <t xml:space="preserve">Katanya masuk jam 8. Buktinya mana?</t>
  </si>
  <si>
    <t xml:space="preserve">Katanya sudah masuk jam 8, tapi buktinya tidak ada. Absen yang benar punya bukti: selfie, lokasi, jam otomatis. Pernah mengalami ini? Tulis di komentar. Mau tanya-tanya, WA 081234556757.</t>
  </si>
  <si>
    <t xml:space="preserve">Konten pertama akun baru</t>
  </si>
  <si>
    <t xml:space="preserve">Foto 3 gambar (TikTok 9:16)</t>
  </si>
  <si>
    <t xml:space="preserve">marketing/instagram/tiktok-konten-1/slide-1..3.png</t>
  </si>
  <si>
    <t xml:space="preserve">Katanya masuk jam 8, buktinya mana? Absen pakai bukti: selfie + lokasi + jam otomatis. Pernah kejadian? Komen ya.</t>
  </si>
  <si>
    <t xml:space="preserve">Gambar 1 (IG 4:5)</t>
  </si>
  <si>
    <t xml:space="preserve">marketing/instagram/ig-post/konten-2-rekap-sampai-malam.png</t>
  </si>
  <si>
    <t xml:space="preserve">Akhir bulan, rekap absen sampai malam</t>
  </si>
  <si>
    <t xml:space="preserve">Jam berapa biasanya kamu selesai merekap absen akhir bulan? Jujur saja di komentar.</t>
  </si>
  <si>
    <t xml:space="preserve">marketing/instagram/ig-post/konten-3-gaji-dikomplain.png</t>
  </si>
  <si>
    <t xml:space="preserve">Gaji beda hitungan, karyawan protes</t>
  </si>
  <si>
    <t xml:space="preserve">Selisih gaji sekecil apa pun bisa jadi debat. Pernah kejadian di tempatmu?</t>
  </si>
  <si>
    <t xml:space="preserve">marketing/instagram/ig-post/konten-4-titip-absen.png</t>
  </si>
  <si>
    <t xml:space="preserve">Satu orang absen, tiga nama tercatat</t>
  </si>
  <si>
    <t xml:space="preserve">Titip absen itu rahasia umum. Pernah menemukan di tempat usahamu?</t>
  </si>
  <si>
    <t xml:space="preserve">marketing/instagram/ig-post/konten-5-siapa-sudah-masuk.png</t>
  </si>
  <si>
    <t xml:space="preserve">Jam 9 pagi. Siapa yang sudah masuk?</t>
  </si>
  <si>
    <t xml:space="preserve">Sekarang jam berapa? Kamu tahu siapa saja yang sudah masuk hari ini?</t>
  </si>
  <si>
    <t xml:space="preserve">Post IG 1 gambar</t>
  </si>
  <si>
    <t xml:space="preserve">marketing/instagram/feed-30/P01-bocor-halus-gaji/slide-1..1.png</t>
  </si>
  <si>
    <t xml:space="preserve">Gaji habis sebelum tanggal tua? Cek 3 bocor halus ini</t>
  </si>
  <si>
    <t xml:space="preserve">Gaji cepat habis padahal merasa tidak belanja besar? Sering kali bocornya halus. Catat pengeluaran 1 bulan penuh, lalu lihat totalnya. Simpan postingan ini untuk dicek di akhir bulan.</t>
  </si>
  <si>
    <t xml:space="preserve">Tema umum, tag: Keuangan</t>
  </si>
  <si>
    <t xml:space="preserve">P02</t>
  </si>
  <si>
    <t xml:space="preserve">marketing/instagram/feed-30/P02-quiet-quitting/slide-1..1.png</t>
  </si>
  <si>
    <t xml:space="preserve">Quiet quitting bukan soal malas. Ini soal batas.</t>
  </si>
  <si>
    <t xml:space="preserve">Bekerja sesuai peran dan jam kerja itu wajar. Yang tidak wajar adalah beban tanpa batas. Setuju atau tidak? Tulis pendapatmu di komentar.</t>
  </si>
  <si>
    <t xml:space="preserve">Tema umum, tag: Dunia Kerja</t>
  </si>
  <si>
    <t xml:space="preserve">marketing/instagram/feed-30/P03-red-flag-green-flag/slide-1..1.png</t>
  </si>
  <si>
    <t xml:space="preserve">Red flag vs green flag di tempat kerja</t>
  </si>
  <si>
    <t xml:space="preserve">Red flag dan green flag di tempat kerja. Kamu pernah mengalami yang mana? Tag temanmu yang perlu lihat ini.</t>
  </si>
  <si>
    <t xml:space="preserve">marketing/instagram/feed-30/P04-aturan-50-30-20/slide-1..1.png</t>
  </si>
  <si>
    <t xml:space="preserve">Aturan 50/30/20 untuk gaji</t>
  </si>
  <si>
    <t xml:space="preserve">Bingung bagi gaji? Mulai dari aturan 50/30/20. Ini panduan awal, boleh disesuaikan dengan kondisimu. Simpan dulu, hitung nanti.</t>
  </si>
  <si>
    <t xml:space="preserve">P05</t>
  </si>
  <si>
    <t xml:space="preserve">marketing/instagram/feed-30/P05-tanda-burnout/slide-1..1.png</t>
  </si>
  <si>
    <t xml:space="preserve">Burnout? 5 tanda tubuhmu minta istirahat</t>
  </si>
  <si>
    <t xml:space="preserve">Ini tanda umum, bukan diagnosis. Kalau berlangsung lama dan mengganggu, bicarakan dengan profesional. Jaga dirimu.</t>
  </si>
  <si>
    <t xml:space="preserve">Tema umum, tag: Kesehatan Mental</t>
  </si>
  <si>
    <t xml:space="preserve">P06</t>
  </si>
  <si>
    <t xml:space="preserve">marketing/instagram/feed-30/P06-tiga-prompt-ai/slide-1..1.png</t>
  </si>
  <si>
    <t xml:space="preserve">3 prompt AI yang beneran kepakai di kerja</t>
  </si>
  <si>
    <t xml:space="preserve">Tiga prompt sederhana yang bisa langsung dipakai. Ganti bagian dalam kurung dengan konteksmu. Simpan untuk dicoba.</t>
  </si>
  <si>
    <t xml:space="preserve">Tema umum, tag: Ai Dan Produktivitas</t>
  </si>
  <si>
    <t xml:space="preserve">P07</t>
  </si>
  <si>
    <t xml:space="preserve">marketing/instagram/feed-30/P07-no-buy-challenge/slide-1..1.png</t>
  </si>
  <si>
    <t xml:space="preserve">No-buy challenge 30 hari: aturan mainnya</t>
  </si>
  <si>
    <t xml:space="preserve">No-buy challenge 30 hari: bukan berhenti belanja total, tapi lebih sadar. Berani coba? Tulis tanggal mulaimu di komentar.</t>
  </si>
  <si>
    <t xml:space="preserve">P08</t>
  </si>
  <si>
    <t xml:space="preserve">marketing/instagram/feed-30/P08-poll-wfo-hybrid/slide-1..1.png</t>
  </si>
  <si>
    <t xml:space="preserve">WFO, hybrid, atau WFH? Kamu tim mana?</t>
  </si>
  <si>
    <t xml:space="preserve">Kamu tim mana? Komen A, B, atau C. Ceritakan alasanmu.</t>
  </si>
  <si>
    <t xml:space="preserve">P09</t>
  </si>
  <si>
    <t xml:space="preserve">marketing/instagram/feed-30/P09-mitos-investasi/slide-1..1.png</t>
  </si>
  <si>
    <t xml:space="preserve">Mitos: investasi itu hanya untuk orang kaya</t>
  </si>
  <si>
    <t xml:space="preserve">Mitos dan fakta soal investasi. Ini informasi umum, bukan ajakan atau saran investasi. Pelajari dulu dan sesuaikan dengan profil risikomu.</t>
  </si>
  <si>
    <t xml:space="preserve">P10</t>
  </si>
  <si>
    <t xml:space="preserve">marketing/instagram/feed-30/P10-jam-produktif/slide-1..1.png</t>
  </si>
  <si>
    <t xml:space="preserve">Jam produktifmu kapan? Cocokkan dengan tugasnya</t>
  </si>
  <si>
    <t xml:space="preserve">Cocokkan jenis tugas dengan jam energimu. Kamu paling produktif jam berapa?</t>
  </si>
  <si>
    <t xml:space="preserve">Tema umum, tag: Produktivitas</t>
  </si>
  <si>
    <t xml:space="preserve">Post IG 2 gambar</t>
  </si>
  <si>
    <t xml:space="preserve">marketing/instagram/feed-30/P11-side-hustle-modal-kecil/slide-1..2.png</t>
  </si>
  <si>
    <t xml:space="preserve">Side hustle modal di bawah Rp1 juta</t>
  </si>
  <si>
    <t xml:space="preserve">Ide side hustle dengan modal kecil. Pilih satu, coba 30 hari, lalu evaluasi. Ide mana yang paling cocok denganmu?</t>
  </si>
  <si>
    <t xml:space="preserve">Tema umum, tag: Side Hustle</t>
  </si>
  <si>
    <t xml:space="preserve">marketing/instagram/feed-30/P12-menolak-lembur/slide-1..2.png</t>
  </si>
  <si>
    <t xml:space="preserve">Cara menolak lembur tanpa drama</t>
  </si>
  <si>
    <t xml:space="preserve">Menolak lembur tanpa drama itu bisa. Simpan skrip ini untuk dipakai saat dibutuhkan.</t>
  </si>
  <si>
    <t xml:space="preserve">marketing/instagram/feed-30/P13-soft-life-budget-biasa/slide-1..2.png</t>
  </si>
  <si>
    <t xml:space="preserve">Soft life dengan budget biasa</t>
  </si>
  <si>
    <t xml:space="preserve">Soft life tidak harus mahal. Mulai dari kebiasaan kecil yang bikin hidup lebih tenang.</t>
  </si>
  <si>
    <t xml:space="preserve">Tema umum, tag: Gaya Hidup</t>
  </si>
  <si>
    <t xml:space="preserve">P14</t>
  </si>
  <si>
    <t xml:space="preserve">marketing/instagram/feed-30/P14-dana-darurat/slide-1..2.png</t>
  </si>
  <si>
    <t xml:space="preserve">Dana darurat itu berapa sih?</t>
  </si>
  <si>
    <t xml:space="preserve">Dana darurat itu bantalan, bukan investasi. Hitung kebutuhanmu dan mulai nabung sedikit demi sedikit.</t>
  </si>
  <si>
    <t xml:space="preserve">P15</t>
  </si>
  <si>
    <t xml:space="preserve">marketing/instagram/feed-30/P15-kelemahan-wawancara/slide-1..2.png</t>
  </si>
  <si>
    <t xml:space="preserve">Wawancara: "Apa kelemahanmu?"</t>
  </si>
  <si>
    <t xml:space="preserve">Pertanyaan klasik wawancara kerja. Siapkan jawabanmu dengan struktur ini.</t>
  </si>
  <si>
    <t xml:space="preserve">Tema umum, tag: Karier</t>
  </si>
  <si>
    <t xml:space="preserve">P16</t>
  </si>
  <si>
    <t xml:space="preserve">marketing/instagram/feed-30/P16-slow-morning/slide-1..2.png</t>
  </si>
  <si>
    <t xml:space="preserve">Slow morning 15 menit</t>
  </si>
  <si>
    <t xml:space="preserve">Pagi yang pelan 15 menit bisa mengubah harimu. Coba besok dan ceritakan hasilnya.</t>
  </si>
  <si>
    <t xml:space="preserve">P17</t>
  </si>
  <si>
    <t xml:space="preserve">marketing/instagram/feed-30/P17-overthinking-karier/slide-1..2.png</t>
  </si>
  <si>
    <t xml:space="preserve">Overthinking soal karier? Jawab 3 pertanyaan ini</t>
  </si>
  <si>
    <t xml:space="preserve">Kalau sedang bimbang soal karier, jawab tiga pertanyaan ini secara tertulis.</t>
  </si>
  <si>
    <t xml:space="preserve">P18</t>
  </si>
  <si>
    <t xml:space="preserve">marketing/instagram/feed-30/P18-konten-umkm/slide-1..2.png</t>
  </si>
  <si>
    <t xml:space="preserve">Konten UMKM tanpa ribet</t>
  </si>
  <si>
    <t xml:space="preserve">Konten UMKM tidak harus rumit. Pilih satu ide, buat konsisten. Usahamu apa? Tulis di komentar.</t>
  </si>
  <si>
    <t xml:space="preserve">Tema umum, tag: Bisnis Kecil</t>
  </si>
  <si>
    <t xml:space="preserve">P19</t>
  </si>
  <si>
    <t xml:space="preserve">marketing/instagram/feed-30/P19-aturan-24-jam/slide-1..2.png</t>
  </si>
  <si>
    <t xml:space="preserve">Tahan beli impulsif dengan aturan 24 jam</t>
  </si>
  <si>
    <t xml:space="preserve">Aturan 24 jam bantu menahan belanja impulsif. Coba untuk belanjaan berikutnya.</t>
  </si>
  <si>
    <t xml:space="preserve">P20</t>
  </si>
  <si>
    <t xml:space="preserve">marketing/instagram/feed-30/P20-networking-introvert/slide-1..2.png</t>
  </si>
  <si>
    <t xml:space="preserve">Networking untuk introvert</t>
  </si>
  <si>
    <t xml:space="preserve">Networking tidak harus ramai. Mulai dari yang kecil dan konsisten.</t>
  </si>
  <si>
    <t xml:space="preserve">Post IG 3 gambar</t>
  </si>
  <si>
    <t xml:space="preserve">marketing/instagram/feed-30/P21-belajar-skill-30-hari/slide-1..3.png</t>
  </si>
  <si>
    <t xml:space="preserve">Belajar skill baru dalam 30 hari</t>
  </si>
  <si>
    <t xml:space="preserve">Belajar skill baru dalam 30 hari: fokus satu hal dan konsisten. Skill apa yang mau kamu pelajari?</t>
  </si>
  <si>
    <t xml:space="preserve">marketing/instagram/feed-30/P22-fire-vs-yolo/slide-1..3.png</t>
  </si>
  <si>
    <t xml:space="preserve">FIRE vs YOLO: kamu tim mana?</t>
  </si>
  <si>
    <t xml:space="preserve">FIRE atau YOLO? Keduanya punya sisi baik. Kamu lebih condong ke mana? Informasi umum, bukan saran keuangan.</t>
  </si>
  <si>
    <t xml:space="preserve">P23</t>
  </si>
  <si>
    <t xml:space="preserve">marketing/instagram/feed-30/P23-budget-pekerja-baru/slide-1..3.png</t>
  </si>
  <si>
    <t xml:space="preserve">Budget bulanan untuk pekerja baru</t>
  </si>
  <si>
    <t xml:space="preserve">Contoh alokasi untuk pekerja baru. Ubah angkanya sesuai kondisimu. Simpan sebagai template.</t>
  </si>
  <si>
    <t xml:space="preserve">P24</t>
  </si>
  <si>
    <t xml:space="preserve">marketing/instagram/feed-30/P24-harga-jual-umkm/slide-1..3.png</t>
  </si>
  <si>
    <t xml:space="preserve">Harga jual UMKM: jangan asal tebak</t>
  </si>
  <si>
    <t xml:space="preserve">Menentukan harga jual jangan asal. Hitung biayanya dulu. Angka di slide hanya contoh.</t>
  </si>
  <si>
    <t xml:space="preserve">P25</t>
  </si>
  <si>
    <t xml:space="preserve">marketing/instagram/feed-30/P25-kapan-delegasi/slide-1..3.png</t>
  </si>
  <si>
    <t xml:space="preserve">Kapan owner harus berhenti kerja sendiri?</t>
  </si>
  <si>
    <t xml:space="preserve">Kalau usaha berhenti saat kamu libur, mungkin saatnya mulai delegasi. Mulai dari tugas kecil.</t>
  </si>
  <si>
    <t xml:space="preserve">P26</t>
  </si>
  <si>
    <t xml:space="preserve">marketing/instagram/feed-30/P26-digital-detox/slide-1..3.png</t>
  </si>
  <si>
    <t xml:space="preserve">Digital detox akhir pekan</t>
  </si>
  <si>
    <t xml:space="preserve">Digital detox weekend: coba 1 hari dulu. Banyak orang merasa lebih tenang. Apakah kamu berani coba?</t>
  </si>
  <si>
    <t xml:space="preserve">P27</t>
  </si>
  <si>
    <t xml:space="preserve">marketing/instagram/feed-30/P27-negosiasi-gaji/slide-1..3.png</t>
  </si>
  <si>
    <t xml:space="preserve">Negosiasi gaji: siapkan ini dulu</t>
  </si>
  <si>
    <t xml:space="preserve">Negosiasi gaji butuh persiapan. Simpan kalimat ini.</t>
  </si>
  <si>
    <t xml:space="preserve">P28</t>
  </si>
  <si>
    <t xml:space="preserve">marketing/instagram/feed-30/P28-meeting-jadi-chat/slide-1..3.png</t>
  </si>
  <si>
    <t xml:space="preserve">Meeting yang seharusnya jadi chat</t>
  </si>
  <si>
    <t xml:space="preserve">Tidak semua rapat perlu rapat. Tag rekan kerja yang sering mengundang meeting tanpa agenda.</t>
  </si>
  <si>
    <t xml:space="preserve">P29</t>
  </si>
  <si>
    <t xml:space="preserve">marketing/instagram/feed-30/P29-komunikasi-lintas-generasi/slide-1..3.png</t>
  </si>
  <si>
    <t xml:space="preserve">Kerja bareng lintas generasi</t>
  </si>
  <si>
    <t xml:space="preserve">Gaya kerja tiap orang berbeda, apa pun generasinya. Sepakati cara berkomunikasi.</t>
  </si>
  <si>
    <t xml:space="preserve">P30</t>
  </si>
  <si>
    <t xml:space="preserve">marketing/instagram/feed-30/P30-review-akhir-tahun/slide-1..3.png</t>
  </si>
  <si>
    <t xml:space="preserve">Review akhir tahun: 5 pertanyaan untuk dirimu</t>
  </si>
  <si>
    <t xml:space="preserve">Akhir tahun waktunya refleksi. Tulis jawabanmu dan simpan postingan ini.</t>
  </si>
  <si>
    <t xml:space="preserve">Tema umum, tag: Refleksi</t>
  </si>
  <si>
    <t xml:space="preserve">marketing/instagram/feed-60/P31-hemat-listrik/slide-1..1.png</t>
  </si>
  <si>
    <t xml:space="preserve">Tagihan listrik naik? 4 kebiasaan yang bisa dicoba</t>
  </si>
  <si>
    <t xml:space="preserve">Tagihan listrik naik? Coba kebiasaan kecil ini selama sebulan lalu bandingkan tagihannya. Kebiasaan mana yang sudah kamu lakukan?</t>
  </si>
  <si>
    <t xml:space="preserve">marketing/instagram/feed-60/P32-tolak-ajakan-nongkrong/slide-1..1.png</t>
  </si>
  <si>
    <t xml:space="preserve">"Aku skip dulu ya, lagi nabung. Lain kali aku ikut."</t>
  </si>
  <si>
    <t xml:space="preserve">Menolak ajakan itu boleh, asal jujur dan ramah. Simpan kalimat ini untuk dipakai saat butuh.</t>
  </si>
  <si>
    <t xml:space="preserve">P33</t>
  </si>
  <si>
    <t xml:space="preserve">marketing/instagram/feed-60/P33-self-care-gratis/slide-1..1.png</t>
  </si>
  <si>
    <t xml:space="preserve">Self-care gratis yang bisa dilakukan hari ini</t>
  </si>
  <si>
    <t xml:space="preserve">Self-care tidak harus mahal. Pilih satu yang bisa kamu lakukan hari ini.</t>
  </si>
  <si>
    <t xml:space="preserve">P34</t>
  </si>
  <si>
    <t xml:space="preserve">marketing/instagram/feed-60/P34-belanja-bulanan-hemat/slide-1..1.png</t>
  </si>
  <si>
    <t xml:space="preserve">Belanja bulanan lebih hemat dengan 4 langkah</t>
  </si>
  <si>
    <t xml:space="preserve">Belanja bulanan sering bocor di hal kecil. Coba empat langkah ini sebelum ke toko.</t>
  </si>
  <si>
    <t xml:space="preserve">P35</t>
  </si>
  <si>
    <t xml:space="preserve">marketing/instagram/feed-60/P35-mitos-begadang/slide-1..1.png</t>
  </si>
  <si>
    <t xml:space="preserve">Mitos: begadang bikin lebih produktif</t>
  </si>
  <si>
    <t xml:space="preserve">Mitos dan fakta soal begadang dan produktivitas. Informasi umum, bukan saran medis.</t>
  </si>
  <si>
    <t xml:space="preserve">P36</t>
  </si>
  <si>
    <t xml:space="preserve">marketing/instagram/feed-60/P36-prompt-ai-bahasa-inggris/slide-1..1.png</t>
  </si>
  <si>
    <t xml:space="preserve">3 prompt AI untuk belajar bahasa Inggris</t>
  </si>
  <si>
    <t xml:space="preserve">Tiga prompt untuk melatih bahasa Inggris dengan AI. Ganti bagian dalam kurung dengan topikmu.</t>
  </si>
  <si>
    <t xml:space="preserve">Tema umum, tag: Ai Dan Belajar</t>
  </si>
  <si>
    <t xml:space="preserve">P37</t>
  </si>
  <si>
    <t xml:space="preserve">marketing/instagram/feed-60/P37-poll-musik-saat-kerja/slide-1..1.png</t>
  </si>
  <si>
    <t xml:space="preserve">Kerja sambil dengar musik atau hening?</t>
  </si>
  <si>
    <t xml:space="preserve">Kamu tim mana? Komen A, B, atau C.</t>
  </si>
  <si>
    <t xml:space="preserve">P38</t>
  </si>
  <si>
    <t xml:space="preserve">marketing/instagram/feed-60/P38-ritme-fokus-90-20/slide-1..1.png</t>
  </si>
  <si>
    <t xml:space="preserve">Ritme fokus 90/20</t>
  </si>
  <si>
    <t xml:space="preserve">Contoh ritme kerja fokus. Sesuaikan durasinya dengan dirimu. Simpan untuk dicoba besok.</t>
  </si>
  <si>
    <t xml:space="preserve">P39</t>
  </si>
  <si>
    <t xml:space="preserve">marketing/instagram/feed-60/P39-tanda-butuh-libur/slide-1..1.png</t>
  </si>
  <si>
    <t xml:space="preserve">5 tanda kamu butuh libur</t>
  </si>
  <si>
    <t xml:space="preserve">Kalau beberapa tanda ini muncul, mungkin waktunya cuti. Tag temanmu yang perlu istirahat.</t>
  </si>
  <si>
    <t xml:space="preserve">P40</t>
  </si>
  <si>
    <t xml:space="preserve">marketing/instagram/feed-60/P40-etika-chat-kerja/slide-1..1.png</t>
  </si>
  <si>
    <t xml:space="preserve">5 etika chat kerja</t>
  </si>
  <si>
    <t xml:space="preserve">Etika chat kerja yang bikin komunikasi lebih lancar. Setuju yang mana?</t>
  </si>
  <si>
    <t xml:space="preserve">marketing/instagram/feed-60/P41-cv-ramah-sistem/slide-1..2.png</t>
  </si>
  <si>
    <t xml:space="preserve">CV yang lolos seleksi sistem</t>
  </si>
  <si>
    <t xml:space="preserve">Banyak perusahaan menyaring CV dengan sistem. Rapikan format CV-mu dengan tips ini.</t>
  </si>
  <si>
    <t xml:space="preserve">marketing/instagram/feed-60/P42-meal-prep-seminggu/slide-1..2.png</t>
  </si>
  <si>
    <t xml:space="preserve">Meal prep hemat untuk 1 minggu</t>
  </si>
  <si>
    <t xml:space="preserve">Meal prep bantu hemat uang dan waktu. Mulai dari porsi kecil dulu.</t>
  </si>
  <si>
    <t xml:space="preserve">P43</t>
  </si>
  <si>
    <t xml:space="preserve">marketing/instagram/feed-60/P43-belajar-investasi-dasar/slide-1..2.png</t>
  </si>
  <si>
    <t xml:space="preserve">Belajar investasi dari nol: urutan belajarnya</t>
  </si>
  <si>
    <t xml:space="preserve">Informasi umum, bukan saran investasi. Pelajari risikonya dan sesuaikan dengan kondisimu.</t>
  </si>
  <si>
    <t xml:space="preserve">P44</t>
  </si>
  <si>
    <t xml:space="preserve">marketing/instagram/feed-60/P44-rekan-suka-menyela/slide-1..2.png</t>
  </si>
  <si>
    <t xml:space="preserve">Rekan kerja suka menyela? 3 kalimat ini membantu</t>
  </si>
  <si>
    <t xml:space="preserve">Disela saat bicara itu menyebalkan. Coba kalimat ini dengan nada tenang.</t>
  </si>
  <si>
    <t xml:space="preserve">P45</t>
  </si>
  <si>
    <t xml:space="preserve">marketing/instagram/feed-60/P45-rutinitas-malam/slide-1..2.png</t>
  </si>
  <si>
    <t xml:space="preserve">Rutinitas malam 10 menit</t>
  </si>
  <si>
    <t xml:space="preserve">Rutinitas malam singkat bikin pagi lebih ringan. Coba malam ini.</t>
  </si>
  <si>
    <t xml:space="preserve">P46</t>
  </si>
  <si>
    <t xml:space="preserve">marketing/instagram/feed-60/P46-aturan-dua-menit/slide-1..2.png</t>
  </si>
  <si>
    <t xml:space="preserve">Susah mulai kebiasaan? Coba aturan 2 menit</t>
  </si>
  <si>
    <t xml:space="preserve">Susah mulai kebiasaan baru? Perkecil dulu sampai terasa ringan.</t>
  </si>
  <si>
    <t xml:space="preserve">P47</t>
  </si>
  <si>
    <t xml:space="preserve">marketing/instagram/feed-60/P47-foto-produk-hp/slide-1..2.png</t>
  </si>
  <si>
    <t xml:space="preserve">Foto produk pakai HP, tetap enak dilihat</t>
  </si>
  <si>
    <t xml:space="preserve">Foto produk bagus tidak harus pakai kamera mahal. Cahaya dan latar yang menentukan.</t>
  </si>
  <si>
    <t xml:space="preserve">P48</t>
  </si>
  <si>
    <t xml:space="preserve">marketing/instagram/feed-60/P48-nabung-52-minggu/slide-1..2.png</t>
  </si>
  <si>
    <t xml:space="preserve">Tantangan nabung 52 minggu</t>
  </si>
  <si>
    <t xml:space="preserve">Tantangan nabung 52 minggu: naik Rp10.000 tiap minggu. Total di slide kedua adalah contoh hitungan.</t>
  </si>
  <si>
    <t xml:space="preserve">P49</t>
  </si>
  <si>
    <t xml:space="preserve">marketing/instagram/feed-60/P49-gugup-bicara-depan-umum/slide-1..2.png</t>
  </si>
  <si>
    <t xml:space="preserve">Gugup bicara di depan umum? 4 teknik ini</t>
  </si>
  <si>
    <t xml:space="preserve">Gugup itu wajar. Latihan dan persiapan bantu banyak. Teknik mana yang mau kamu coba?</t>
  </si>
  <si>
    <t xml:space="preserve">P50</t>
  </si>
  <si>
    <t xml:space="preserve">marketing/instagram/feed-60/P50-liburan-hemat/slide-1..2.png</t>
  </si>
  <si>
    <t xml:space="preserve">Liburan hemat tanpa terasa pelit</t>
  </si>
  <si>
    <t xml:space="preserve">Liburan hemat tetap bisa menyenangkan. Mulai dari budget total.</t>
  </si>
  <si>
    <t xml:space="preserve">marketing/instagram/feed-60/P51-caption-jualan/slide-1..3.png</t>
  </si>
  <si>
    <t xml:space="preserve">Caption jualan yang bikin orang beli</t>
  </si>
  <si>
    <t xml:space="preserve">Caption jualan sederhana dengan rumus AIDA. Contoh di slide terakhir bisa kamu ubah sesuai produkmu.</t>
  </si>
  <si>
    <t xml:space="preserve">marketing/instagram/feed-60/P52-inbox-realistis/slide-1..3.png</t>
  </si>
  <si>
    <t xml:space="preserve">Inbox penuh? Cara realistis merapikannya</t>
  </si>
  <si>
    <t xml:space="preserve">Inbox zero itu tidak harus sempurna. Mulai dari tiga aturan sederhana.</t>
  </si>
  <si>
    <t xml:space="preserve">P53</t>
  </si>
  <si>
    <t xml:space="preserve">marketing/instagram/feed-60/P53-setup-meja-wfh/slide-1..3.png</t>
  </si>
  <si>
    <t xml:space="preserve">Setup meja kerja di rumah yang nyaman</t>
  </si>
  <si>
    <t xml:space="preserve">Setup meja kerja yang nyaman bikin kerja lebih tahan lama. Ada yang mau kamu ubah?</t>
  </si>
  <si>
    <t xml:space="preserve">P54</t>
  </si>
  <si>
    <t xml:space="preserve">marketing/instagram/feed-60/P54-penghasilan-tidak-tetap/slide-1..3.png</t>
  </si>
  <si>
    <t xml:space="preserve">Penghasilan tidak tetap? Cara mengatur uangnya</t>
  </si>
  <si>
    <t xml:space="preserve">Untuk freelancer dan pekerja lepas: atur uang dengan sistem sederhana. Informasi umum, bukan saran keuangan.</t>
  </si>
  <si>
    <t xml:space="preserve">P55</t>
  </si>
  <si>
    <t xml:space="preserve">marketing/instagram/feed-60/P55-minta-feedback-atasan/slide-1..3.png</t>
  </si>
  <si>
    <t xml:space="preserve">Cara minta feedback ke atasan</t>
  </si>
  <si>
    <t xml:space="preserve">Minta feedback itu tanda kamu mau berkembang. Siapkan dulu sebelum bertanya.</t>
  </si>
  <si>
    <t xml:space="preserve">P56</t>
  </si>
  <si>
    <t xml:space="preserve">marketing/instagram/feed-60/P56-validasi-ide-7-hari/slide-1..3.png</t>
  </si>
  <si>
    <t xml:space="preserve">Validasi ide bisnis dalam 7 hari</t>
  </si>
  <si>
    <t xml:space="preserve">Sebelum keluar modal besar, uji ide bisnismu dulu selama seminggu.</t>
  </si>
  <si>
    <t xml:space="preserve">P57</t>
  </si>
  <si>
    <t xml:space="preserve">marketing/instagram/feed-60/P57-teknik-pomodoro/slide-1..3.png</t>
  </si>
  <si>
    <t xml:space="preserve">Sulit fokus? Coba teknik Pomodoro</t>
  </si>
  <si>
    <t xml:space="preserve">Pomodoro bantu fokus pada satu tugas. Coba satu sesi hari ini.</t>
  </si>
  <si>
    <t xml:space="preserve">P58</t>
  </si>
  <si>
    <t xml:space="preserve">marketing/instagram/feed-60/P58-evaluasi-usaha/slide-1..3.png</t>
  </si>
  <si>
    <t xml:space="preserve">Usaha tidak sesuai rencana? 3 pertanyaan evaluasi</t>
  </si>
  <si>
    <t xml:space="preserve">Rencana tidak selalu berjalan. Evaluasi singkat membantu langkah berikutnya.</t>
  </si>
  <si>
    <t xml:space="preserve">P59</t>
  </si>
  <si>
    <t xml:space="preserve">marketing/instagram/feed-60/P59-persiapan-wawancara-7-hari/slide-1..3.png</t>
  </si>
  <si>
    <t xml:space="preserve">Persiapan wawancara kerja dalam 7 hari</t>
  </si>
  <si>
    <t xml:space="preserve">Persiapan seminggu cukup untuk tampil lebih percaya diri. Simpan sebagai pengingat.</t>
  </si>
  <si>
    <t xml:space="preserve">P60</t>
  </si>
  <si>
    <t xml:space="preserve">marketing/instagram/feed-60/P60-rencana-90-hari/slide-1..3.png</t>
  </si>
  <si>
    <t xml:space="preserve">Rencana 90 hari: target kecil, hasil nyata</t>
  </si>
  <si>
    <t xml:space="preserve">Rencana 90 hari lebih mudah dijaga daripada target setahun. Apa targetmu?</t>
  </si>
  <si>
    <t xml:space="preserve">marketing/instagram/feed-120/P61-tiga-kebiasaan-keuangan-sehat/slide-1..1.png</t>
  </si>
  <si>
    <t xml:space="preserve">3 kebiasaan keuangan sehat</t>
  </si>
  <si>
    <t xml:space="preserve">Tiga kebiasaan kecil yang bikin keuangan lebih sehat. Mulai satu dulu. Informasi umum.</t>
  </si>
  <si>
    <t xml:space="preserve">marketing/instagram/feed-120/P62-tier-list-kebiasaan-hemat/slide-1..1.png</t>
  </si>
  <si>
    <t xml:space="preserve">Kebiasaan hemat: dari yang paling berdampak</t>
  </si>
  <si>
    <t xml:space="preserve">Kebiasaan hemat mana yang paling berdampak menurutmu? Tulis di komentar.</t>
  </si>
  <si>
    <t xml:space="preserve">marketing/instagram/feed-120/P63-poll-gajian-habis-kemana/slide-1..1.png</t>
  </si>
  <si>
    <t xml:space="preserve">Gajianmu habis ke mana?</t>
  </si>
  <si>
    <t xml:space="preserve">Gaji habis ke mana? Komen A, B, atau C.</t>
  </si>
  <si>
    <t xml:space="preserve">marketing/instagram/feed-120/P64-rumus-tabungan-liburan/slide-1..1.png</t>
  </si>
  <si>
    <t xml:space="preserve">Dana liburan: rumus sederhana</t>
  </si>
  <si>
    <t xml:space="preserve">Rumus sederhana menyiapkan dana liburan. Angka hanya contoh.</t>
  </si>
  <si>
    <t xml:space="preserve">marketing/instagram/feed-120/P65-mitos-diskon-besar-hemat/slide-1..1.png</t>
  </si>
  <si>
    <t xml:space="preserve">Mitos: diskon besar pasti hemat</t>
  </si>
  <si>
    <t xml:space="preserve">Diskon besar belum tentu hemat. Beli yang memang dibutuhkan.</t>
  </si>
  <si>
    <t xml:space="preserve">P66</t>
  </si>
  <si>
    <t xml:space="preserve">marketing/instagram/feed-120/P66-tanda-siap-pindah-kerja/slide-1..1.png</t>
  </si>
  <si>
    <t xml:space="preserve">Tanda kamu siap pindah kerja</t>
  </si>
  <si>
    <t xml:space="preserve">Tanda umum kamu mungkin siap berpindah. Pikirkan baik-baik sebelum memutuskan.</t>
  </si>
  <si>
    <t xml:space="preserve">P67</t>
  </si>
  <si>
    <t xml:space="preserve">marketing/instagram/feed-120/P67-template-email-izin/slide-1..1.png</t>
  </si>
  <si>
    <t xml:space="preserve">"Dengan hormat, saya mohon izin tidak masuk pada [tanggal] karena [alasan]. Pekerjaan saya sudah saya serahkan kepada [nama]."</t>
  </si>
  <si>
    <t xml:space="preserve">Template email izin yang sopan. Simpan dan ubah sesuai kebutuhan.</t>
  </si>
  <si>
    <t xml:space="preserve">P68</t>
  </si>
  <si>
    <t xml:space="preserve">marketing/instagram/feed-120/P68-lima-hal-sebelum-resign/slide-1..1.png</t>
  </si>
  <si>
    <t xml:space="preserve">5 hal sebelum resign</t>
  </si>
  <si>
    <t xml:space="preserve">Sebelum resign, cek lima hal ini. Keputusan tetap di tanganmu.</t>
  </si>
  <si>
    <t xml:space="preserve">P69</t>
  </si>
  <si>
    <t xml:space="preserve">marketing/instagram/feed-120/P69-prompt-ai-ringkas-bacaan/slide-1..1.png</t>
  </si>
  <si>
    <t xml:space="preserve">3 prompt AI untuk meringkas bacaan</t>
  </si>
  <si>
    <t xml:space="preserve">Tiga prompt AI untuk meringkas bacaan panjang. Ganti bagian dalam kurung.</t>
  </si>
  <si>
    <t xml:space="preserve">P70</t>
  </si>
  <si>
    <t xml:space="preserve">marketing/instagram/feed-120/P70-aturan-dua-layar-kerja/slide-1..1.png</t>
  </si>
  <si>
    <t xml:space="preserve">4 aturan meja kerja rapi</t>
  </si>
  <si>
    <t xml:space="preserve">Kerja lebih nyaman dengan aturan sederhana. Mana yang sudah kamu lakukan?</t>
  </si>
  <si>
    <t xml:space="preserve">P71</t>
  </si>
  <si>
    <t xml:space="preserve">marketing/instagram/feed-120/P71-tanda-teman-kerja-toxic/slide-1..1.png</t>
  </si>
  <si>
    <t xml:space="preserve">Tanda lingkungan kerja kurang sehat</t>
  </si>
  <si>
    <t xml:space="preserve">Kenali tanda lingkungan yang tidak sehat. Informasi umum.</t>
  </si>
  <si>
    <t xml:space="preserve">P72</t>
  </si>
  <si>
    <t xml:space="preserve">marketing/instagram/feed-120/P72-cara-bilang-tidak-sopan/slide-1..1.png</t>
  </si>
  <si>
    <t xml:space="preserve">Cara bilang tidak dengan sopan</t>
  </si>
  <si>
    <t xml:space="preserve">Cara menolak dengan sopan. Simpan kalimatnya.</t>
  </si>
  <si>
    <t xml:space="preserve">P73</t>
  </si>
  <si>
    <t xml:space="preserve">marketing/instagram/feed-120/P73-prinsip-kerja-tuntas/slide-1..1.png</t>
  </si>
  <si>
    <t xml:space="preserve">Satu tugas selesai lebih baik dari lima yang setengah jadi.</t>
  </si>
  <si>
    <t xml:space="preserve">Satu tugas selesai lebih baik daripada lima setengah jadi. Setuju?</t>
  </si>
  <si>
    <t xml:space="preserve">P74</t>
  </si>
  <si>
    <t xml:space="preserve">marketing/instagram/feed-120/P74-poll-pagi-atau-malam/slide-1..1.png</t>
  </si>
  <si>
    <t xml:space="preserve">Tim pagi atau tim malam?</t>
  </si>
  <si>
    <t xml:space="preserve">Kamu tim pagi atau malam? Komen A, B, atau C.</t>
  </si>
  <si>
    <t xml:space="preserve">P75</t>
  </si>
  <si>
    <t xml:space="preserve">marketing/instagram/feed-120/P75-tips-belajar-cepat/slide-1..1.png</t>
  </si>
  <si>
    <t xml:space="preserve">Cara belajar lebih efektif</t>
  </si>
  <si>
    <t xml:space="preserve">Tips belajar yang bisa dicoba hari ini.</t>
  </si>
  <si>
    <t xml:space="preserve">P76</t>
  </si>
  <si>
    <t xml:space="preserve">marketing/instagram/feed-120/P76-tanda-butuh-istirahat-digital/slide-1..1.png</t>
  </si>
  <si>
    <t xml:space="preserve">Tanda butuh rehat dari layar</t>
  </si>
  <si>
    <t xml:space="preserve">Tanda kamu butuh rehat dari layar. Pengalaman tiap orang bisa berbeda.</t>
  </si>
  <si>
    <t xml:space="preserve">P77</t>
  </si>
  <si>
    <t xml:space="preserve">marketing/instagram/feed-120/P77-tiga-cara-mulai-olahraga/slide-1..1.png</t>
  </si>
  <si>
    <t xml:space="preserve">3 cara mulai bergerak</t>
  </si>
  <si>
    <t xml:space="preserve">Mulai olahraga tidak harus berat. Konsultasikan dengan tenaga kesehatan bila perlu.</t>
  </si>
  <si>
    <t xml:space="preserve">P78</t>
  </si>
  <si>
    <t xml:space="preserve">marketing/instagram/feed-120/P78-resep-sarapan-murah/slide-1..1.png</t>
  </si>
  <si>
    <t xml:space="preserve">Ide sarapan murah dan cepat</t>
  </si>
  <si>
    <t xml:space="preserve">Ide sarapan murah dan cepat. Kamu biasanya sarapan apa?</t>
  </si>
  <si>
    <t xml:space="preserve">P79</t>
  </si>
  <si>
    <t xml:space="preserve">marketing/instagram/feed-120/P79-harga-promo-umkm/slide-1..1.png</t>
  </si>
  <si>
    <t xml:space="preserve">Promo UMKM yang tetap untung</t>
  </si>
  <si>
    <t xml:space="preserve">Promo yang sehat tidak merugikan. Hitung dulu sebelum menawarkan.</t>
  </si>
  <si>
    <t xml:space="preserve">P80</t>
  </si>
  <si>
    <t xml:space="preserve">marketing/instagram/feed-120/P80-tanda-usaha-perlu-pembukuan/slide-1..1.png</t>
  </si>
  <si>
    <t xml:space="preserve">Tanda usaha perlu pembukuan rapi</t>
  </si>
  <si>
    <t xml:space="preserve">Tanda usahamu perlu pembukuan lebih rapi.</t>
  </si>
  <si>
    <t xml:space="preserve">marketing/instagram/feed-120/P81-cara-bikin-anggaran-bulanan/slide-1..2.png</t>
  </si>
  <si>
    <t xml:space="preserve">Cara membuat anggaran bulanan</t>
  </si>
  <si>
    <t xml:space="preserve">Cara membuat anggaran bulanan dalam 4 langkah. Simpan.</t>
  </si>
  <si>
    <t xml:space="preserve">marketing/instagram/feed-120/P82-lunasi-utang-urutan/slide-1..2.png</t>
  </si>
  <si>
    <t xml:space="preserve">Melunasi utang: dua metode populer</t>
  </si>
  <si>
    <t xml:space="preserve">Urutan melunasi utang yang sering dipakai. Informasi umum, bukan saran keuangan.</t>
  </si>
  <si>
    <t xml:space="preserve">marketing/instagram/feed-120/P83-simpan-struk-belanja/slide-1..2.png</t>
  </si>
  <si>
    <t xml:space="preserve">Struk belanja: buang atau simpan?</t>
  </si>
  <si>
    <t xml:space="preserve">Struk belanja membantu melacak pengeluaran. Kamu menyimpan struk atau tidak?</t>
  </si>
  <si>
    <t xml:space="preserve">marketing/instagram/feed-120/P84-dana-pendidikan-anak/slide-1..2.png</t>
  </si>
  <si>
    <t xml:space="preserve">Dana pendidikan anak: mulai dari mana?</t>
  </si>
  <si>
    <t xml:space="preserve">Mulai menyiapkan dana pendidikan sejak dini. Angka contoh. Informasi umum.</t>
  </si>
  <si>
    <t xml:space="preserve">P85</t>
  </si>
  <si>
    <t xml:space="preserve">marketing/instagram/feed-120/P85-belanja-bulanan-vs-harian/slide-1..2.png</t>
  </si>
  <si>
    <t xml:space="preserve">Belanja bulanan vs belanja harian</t>
  </si>
  <si>
    <t xml:space="preserve">Belanja bulanan atau harian, mana yang lebih hemat bagimu?</t>
  </si>
  <si>
    <t xml:space="preserve">P86</t>
  </si>
  <si>
    <t xml:space="preserve">marketing/instagram/feed-120/P86-cv-vs-portofolio/slide-1..2.png</t>
  </si>
  <si>
    <t xml:space="preserve">CV vs portofolio: apa bedanya?</t>
  </si>
  <si>
    <t xml:space="preserve">CV dan portofolio punya fungsi berbeda. Kamu sudah punya keduanya?</t>
  </si>
  <si>
    <t xml:space="preserve">P87</t>
  </si>
  <si>
    <t xml:space="preserve">marketing/instagram/feed-120/P87-linkedin-profil-rapi/slide-1..2.png</t>
  </si>
  <si>
    <t xml:space="preserve">Profil LinkedIn yang rapi</t>
  </si>
  <si>
    <t xml:space="preserve">Profil profesional yang rapi membantu dilirik perekrut.</t>
  </si>
  <si>
    <t xml:space="preserve">P88</t>
  </si>
  <si>
    <t xml:space="preserve">marketing/instagram/feed-120/P88-cara-follow-up-lamaran/slide-1..2.png</t>
  </si>
  <si>
    <t xml:space="preserve">Follow up lamaran tanpa terkesan memaksa</t>
  </si>
  <si>
    <t xml:space="preserve">Cara follow up lamaran dengan sopan. Simpan kalimat ini.</t>
  </si>
  <si>
    <t xml:space="preserve">P89</t>
  </si>
  <si>
    <t xml:space="preserve">marketing/instagram/feed-120/P89-skill-yang-dicari-2026/slide-1..2.png</t>
  </si>
  <si>
    <t xml:space="preserve">Skill yang selalu berguna di banyak pekerjaan</t>
  </si>
  <si>
    <t xml:space="preserve">Skill yang sering dibutuhkan di banyak pekerjaan. Daftar umum, bukan survei.</t>
  </si>
  <si>
    <t xml:space="preserve">P90</t>
  </si>
  <si>
    <t xml:space="preserve">marketing/instagram/feed-120/P90-pitch-diri-30-detik/slide-1..2.png</t>
  </si>
  <si>
    <t xml:space="preserve">Perkenalan diri dalam 30 detik</t>
  </si>
  <si>
    <t xml:space="preserve">Siapkan perkenalan diri 30 detik. Latih sekarang.</t>
  </si>
  <si>
    <t xml:space="preserve">P91</t>
  </si>
  <si>
    <t xml:space="preserve">marketing/instagram/feed-120/P91-cara-tulis-to-do-efektif/slide-1..2.png</t>
  </si>
  <si>
    <t xml:space="preserve">Daftar tugas yang benar-benar terpakai</t>
  </si>
  <si>
    <t xml:space="preserve">Daftar tugas yang efektif itu singkat. Coba hari ini.</t>
  </si>
  <si>
    <t xml:space="preserve">P92</t>
  </si>
  <si>
    <t xml:space="preserve">marketing/instagram/feed-120/P92-deep-work-pemula/slide-1..2.png</t>
  </si>
  <si>
    <t xml:space="preserve">Deep work untuk pemula</t>
  </si>
  <si>
    <t xml:space="preserve">Kerja fokus untuk pemula. Mulai dari sesi pendek.</t>
  </si>
  <si>
    <t xml:space="preserve">P93</t>
  </si>
  <si>
    <t xml:space="preserve">marketing/instagram/feed-120/P93-batching-tugas-serupa/slide-1..2.png</t>
  </si>
  <si>
    <t xml:space="preserve">Batching: kelompokkan tugas serupa</t>
  </si>
  <si>
    <t xml:space="preserve">Kelompokkan tugas serupa agar fokus tidak terpecah.</t>
  </si>
  <si>
    <t xml:space="preserve">P94</t>
  </si>
  <si>
    <t xml:space="preserve">marketing/instagram/feed-120/P94-mengelola-notifikasi/slide-1..2.png</t>
  </si>
  <si>
    <t xml:space="preserve">Notifikasi HP: kamu yang mengatur</t>
  </si>
  <si>
    <t xml:space="preserve">Atur notifikasi supaya HP tidak mengendalikan harimu.</t>
  </si>
  <si>
    <t xml:space="preserve">P95</t>
  </si>
  <si>
    <t xml:space="preserve">marketing/instagram/feed-120/P95-rutinitas-mingguan-reset/slide-1..2.png</t>
  </si>
  <si>
    <t xml:space="preserve">Reset mingguan 20 menit</t>
  </si>
  <si>
    <t xml:space="preserve">Reset mingguan 20 menit. Mulai Minggu ini.</t>
  </si>
  <si>
    <t xml:space="preserve">P96</t>
  </si>
  <si>
    <t xml:space="preserve">marketing/instagram/feed-120/P96-tips-tidur-lebih-nyenyak/slide-1..2.png</t>
  </si>
  <si>
    <t xml:space="preserve">Tidur lebih nyenyak: kebiasaan sederhana</t>
  </si>
  <si>
    <t xml:space="preserve">Kebiasaan umum untuk tidur lebih nyenyak. Bukan saran medis.</t>
  </si>
  <si>
    <t xml:space="preserve">P97</t>
  </si>
  <si>
    <t xml:space="preserve">marketing/instagram/feed-120/P97-belajar-memasak-pemula/slide-1..2.png</t>
  </si>
  <si>
    <t xml:space="preserve">Belajar masak dari nol</t>
  </si>
  <si>
    <t xml:space="preserve">Belajar memasak dari menu sederhana. Menu apa yang ingin kamu coba?</t>
  </si>
  <si>
    <t xml:space="preserve">P98</t>
  </si>
  <si>
    <t xml:space="preserve">marketing/instagram/feed-120/P98-cara-mengatur-lemari/slide-1..2.png</t>
  </si>
  <si>
    <t xml:space="preserve">Merapikan lemari tanpa pusing</t>
  </si>
  <si>
    <t xml:space="preserve">Merapikan lemari bisa dilakukan bertahap.</t>
  </si>
  <si>
    <t xml:space="preserve">P99</t>
  </si>
  <si>
    <t xml:space="preserve">marketing/instagram/feed-120/P99-konten-rutin-umkm-mingguan/slide-1..2.png</t>
  </si>
  <si>
    <t xml:space="preserve">Jadwal konten UMKM seminggu</t>
  </si>
  <si>
    <t xml:space="preserve">Jadwal konten mingguan yang realistis untuk UMKM.</t>
  </si>
  <si>
    <t xml:space="preserve">marketing/instagram/feed-120/P100-tanggapi-ulasan-negatif/slide-1..2.png</t>
  </si>
  <si>
    <t xml:space="preserve">Ulasan negatif? Tanggapi begini</t>
  </si>
  <si>
    <t xml:space="preserve">Menanggapi ulasan negatif dengan tenang.</t>
  </si>
  <si>
    <t xml:space="preserve">marketing/instagram/feed-120/P101-strategi-menabung-3-rekening/slide-1..3.png</t>
  </si>
  <si>
    <t xml:space="preserve">Menabung dengan 3 rekening</t>
  </si>
  <si>
    <t xml:space="preserve">Sistem tiga rekening sederhana. Informasi umum, bukan saran keuangan.</t>
  </si>
  <si>
    <t xml:space="preserve">marketing/instagram/feed-120/P102-hitung-biaya-hidup/slide-1..3.png</t>
  </si>
  <si>
    <t xml:space="preserve">Hitung biaya hidup bulanan</t>
  </si>
  <si>
    <t xml:space="preserve">Hitung biaya hidup bulananmu. Angka contoh.</t>
  </si>
  <si>
    <t xml:space="preserve">marketing/instagram/feed-120/P103-liburan-hemat-tanpa-utang/slide-1..3.png</t>
  </si>
  <si>
    <t xml:space="preserve">Liburan tanpa utang</t>
  </si>
  <si>
    <t xml:space="preserve">Liburan tanpa utang bisa direncanakan. Simpan checklist ini.</t>
  </si>
  <si>
    <t xml:space="preserve">marketing/instagram/feed-120/P104-tiga-jenis-pengeluaran/slide-1..3.png</t>
  </si>
  <si>
    <t xml:space="preserve">3 jenis pengeluaran yang perlu kamu kenali</t>
  </si>
  <si>
    <t xml:space="preserve">Kenali tiga jenis pengeluaran supaya lebih mudah mengatur.</t>
  </si>
  <si>
    <t xml:space="preserve">marketing/instagram/feed-120/P105-kebiasaan-orang-hemat/slide-1..3.png</t>
  </si>
  <si>
    <t xml:space="preserve">Kebiasaan orang yang hemat</t>
  </si>
  <si>
    <t xml:space="preserve">Kebiasaan umum orang yang hemat. Mana yang bisa kamu tiru?</t>
  </si>
  <si>
    <t xml:space="preserve">marketing/instagram/feed-120/P106-persiapan-promosi-jabatan/slide-1..3.png</t>
  </si>
  <si>
    <t xml:space="preserve">Ingin dipromosikan? Siapkan ini</t>
  </si>
  <si>
    <t xml:space="preserve">Persiapan menuju promosi jabatan. Mulai dari catatan pencapaian.</t>
  </si>
  <si>
    <t xml:space="preserve">marketing/instagram/feed-120/P107-menghadapi-atasan-sulit/slide-1..3.png</t>
  </si>
  <si>
    <t xml:space="preserve">Atasan sulit? 3 strategi yang bisa dicoba</t>
  </si>
  <si>
    <t xml:space="preserve">Menghadapi atasan yang sulit butuh strategi. Informasi umum.</t>
  </si>
  <si>
    <t xml:space="preserve">marketing/instagram/feed-120/P108-mentor-cara-mencari/slide-1..3.png</t>
  </si>
  <si>
    <t xml:space="preserve">Mencari mentor: mulai dari mana?</t>
  </si>
  <si>
    <t xml:space="preserve">Cara mencari mentor dan membangun hubungannya.</t>
  </si>
  <si>
    <t xml:space="preserve">marketing/instagram/feed-120/P109-bangun-personal-branding/slide-1..3.png</t>
  </si>
  <si>
    <t xml:space="preserve">Personal branding tanpa ribet</t>
  </si>
  <si>
    <t xml:space="preserve">Personal branding tidak harus rumit. Mulai dari konsistensi.</t>
  </si>
  <si>
    <t xml:space="preserve">marketing/instagram/feed-120/P110-atur-prioritas-eisenhower/slide-1..3.png</t>
  </si>
  <si>
    <t xml:space="preserve">Matriks Eisenhower</t>
  </si>
  <si>
    <t xml:space="preserve">Matriks prioritas sederhana. Coba untuk daftar tugas hari ini.</t>
  </si>
  <si>
    <t xml:space="preserve">marketing/instagram/feed-120/P111-bangun-kebiasaan-membaca/slide-1..3.png</t>
  </si>
  <si>
    <t xml:space="preserve">Kebiasaan membaca: mulai 10 menit</t>
  </si>
  <si>
    <t xml:space="preserve">Membangun kebiasaan membaca dari 10 menit sehari.</t>
  </si>
  <si>
    <t xml:space="preserve">marketing/instagram/feed-120/P112-catatan-harian-syukur/slide-1..3.png</t>
  </si>
  <si>
    <t xml:space="preserve">Jurnal syukur 3 baris</t>
  </si>
  <si>
    <t xml:space="preserve">Menulis tiga hal yang disyukuri. Coba malam ini.</t>
  </si>
  <si>
    <t xml:space="preserve">marketing/instagram/feed-120/P113-menghadapi-stres-kerja/slide-1..3.png</t>
  </si>
  <si>
    <t xml:space="preserve">Stres kerja: langkah kecil yang bisa dicoba</t>
  </si>
  <si>
    <t xml:space="preserve">Cara umum menghadapi stres kerja. Bukan pengganti bantuan profesional.</t>
  </si>
  <si>
    <t xml:space="preserve">marketing/instagram/feed-120/P114-bangun-rutinitas-pagi/slide-1..3.png</t>
  </si>
  <si>
    <t xml:space="preserve">Rutinitas pagi yang bertahan</t>
  </si>
  <si>
    <t xml:space="preserve">Rutinitas pagi yang bisa dibangun bertahap.</t>
  </si>
  <si>
    <t xml:space="preserve">marketing/instagram/feed-120/P115-mengelola-waktu-orang-tua-kerja/slide-1..3.png</t>
  </si>
  <si>
    <t xml:space="preserve">Bekerja sambil mengurus keluarga: atur waktunya</t>
  </si>
  <si>
    <t xml:space="preserve">Membagi waktu antara kerja dan keluarga. Tips umum.</t>
  </si>
  <si>
    <t xml:space="preserve">marketing/instagram/feed-120/P116-modal-awal-usaha-kecil/slide-1..3.png</t>
  </si>
  <si>
    <t xml:space="preserve">Modal awal usaha kecil: apa yang dihitung?</t>
  </si>
  <si>
    <t xml:space="preserve">Menghitung modal awal usaha kecil. Angka contoh.</t>
  </si>
  <si>
    <t xml:space="preserve">marketing/instagram/feed-120/P117-cara-menetapkan-target-penjualan/slide-1..3.png</t>
  </si>
  <si>
    <t xml:space="preserve">Target penjualan: cara menentukannya</t>
  </si>
  <si>
    <t xml:space="preserve">Menetapkan target penjualan yang masuk akal.</t>
  </si>
  <si>
    <t xml:space="preserve">marketing/instagram/feed-120/P118-bedakan-uang-pribadi-usaha/slide-1..3.png</t>
  </si>
  <si>
    <t xml:space="preserve">Uang pribadi dan uang usaha: pisahkan!</t>
  </si>
  <si>
    <t xml:space="preserve">Memisahkan uang pribadi dan usaha itu penting.</t>
  </si>
  <si>
    <t xml:space="preserve">marketing/instagram/feed-120/P119-membangun-pelanggan-setia/slide-1..3.png</t>
  </si>
  <si>
    <t xml:space="preserve">Pelanggan setia: dibangun, bukan kebetulan</t>
  </si>
  <si>
    <t xml:space="preserve">Membangun pelanggan setia lewat hal-hal sederhana.</t>
  </si>
  <si>
    <t xml:space="preserve">marketing/instagram/feed-120/P120-evaluasi-usaha-akhir-bulan/slide-1..3.png</t>
  </si>
  <si>
    <t xml:space="preserve">Evaluasi usaha akhir bulan</t>
  </si>
  <si>
    <t xml:space="preserve">Evaluasi usaha tiap akhir bulan dengan lima pertanyaan.</t>
  </si>
  <si>
    <t xml:space="preserve">Rencana uji iklan Meta Ads (usulan)</t>
  </si>
  <si>
    <t xml:space="preserve">Mulai setelah minggu ke-1. Angka budget diisi sendiri (sel kuning). Tidak ada angka hasil yang dijanjikan.</t>
  </si>
  <si>
    <t xml:space="preserve">Budget per hari (isi sendiri)</t>
  </si>
  <si>
    <t xml:space="preserve">Lama uji per tahap (hari)</t>
  </si>
  <si>
    <t xml:space="preserve">Total budget per tahap</t>
  </si>
  <si>
    <t xml:space="preserve">Tahap</t>
  </si>
  <si>
    <t xml:space="preserve">Minggu</t>
  </si>
  <si>
    <t xml:space="preserve">Kreatif (kode konten)</t>
  </si>
  <si>
    <t xml:space="preserve">Alasan</t>
  </si>
  <si>
    <t xml:space="preserve">Tujuan kampanye di Meta</t>
  </si>
  <si>
    <t xml:space="preserve">Audiens (usulan)</t>
  </si>
  <si>
    <t xml:space="preserve">Yang dipantau</t>
  </si>
  <si>
    <t xml:space="preserve">Keputusan</t>
  </si>
  <si>
    <t xml:space="preserve">1</t>
  </si>
  <si>
    <t xml:space="preserve">Minggu 1</t>
  </si>
  <si>
    <t xml:space="preserve">Organik dulu</t>
  </si>
  <si>
    <t xml:space="preserve">Semua jadwal organik</t>
  </si>
  <si>
    <t xml:space="preserve">Mengisi akun dan melihat konten yang disukai audiens</t>
  </si>
  <si>
    <t xml:space="preserve">-</t>
  </si>
  <si>
    <t xml:space="preserve">Jangkauan, simpan, bagikan, komentar</t>
  </si>
  <si>
    <t xml:space="preserve">Catat 3 konten terbaik</t>
  </si>
  <si>
    <t xml:space="preserve">2</t>
  </si>
  <si>
    <t xml:space="preserve">Minggu 2</t>
  </si>
  <si>
    <t xml:space="preserve">Uji hook</t>
  </si>
  <si>
    <t xml:space="preserve">N33, N49, N51</t>
  </si>
  <si>
    <t xml:space="preserve">Tiga hook berbeda dengan harga Rp349.000 dan kontak WA</t>
  </si>
  <si>
    <t xml:space="preserve">Pesan (WhatsApp)</t>
  </si>
  <si>
    <t xml:space="preserve">Pemilik usaha kecil, usia 25-55, Indonesia, minat bisnis/UMKM</t>
  </si>
  <si>
    <t xml:space="preserve">Tayangan 3 detik, CTR, biaya per pesan</t>
  </si>
  <si>
    <t xml:space="preserve">Matikan yang terendah, lanjutkan 2</t>
  </si>
  <si>
    <t xml:space="preserve">3</t>
  </si>
  <si>
    <t xml:space="preserve">Minggu 3</t>
  </si>
  <si>
    <t xml:space="preserve">Uji pesan</t>
  </si>
  <si>
    <t xml:space="preserve">N13, N46, N54</t>
  </si>
  <si>
    <t xml:space="preserve">Fokus kecepatan, risiko data, tanpa HRD</t>
  </si>
  <si>
    <t xml:space="preserve">Sama seperti tahap 2</t>
  </si>
  <si>
    <t xml:space="preserve">Bandingkan dengan tahap 2</t>
  </si>
  <si>
    <t xml:space="preserve">4</t>
  </si>
  <si>
    <t xml:space="preserve">Minggu 4</t>
  </si>
  <si>
    <t xml:space="preserve">Skala pemenang</t>
  </si>
  <si>
    <t xml:space="preserve">2 kreatif terbaik tahap 2-3</t>
  </si>
  <si>
    <t xml:space="preserve">Naikkan budget bertahap pada yang konsisten</t>
  </si>
  <si>
    <t xml:space="preserve">Perluas minat dan wilayah</t>
  </si>
  <si>
    <t xml:space="preserve">Biaya per pesan, jumlah pesan, kualitas prospek</t>
  </si>
  <si>
    <t xml:space="preserve">Naikkan 20-30% bila stabil</t>
  </si>
  <si>
    <t xml:space="preserve">Cadangan</t>
  </si>
  <si>
    <t xml:space="preserve">Kapan saja</t>
  </si>
  <si>
    <t xml:space="preserve">Retargeting</t>
  </si>
  <si>
    <t xml:space="preserve">E16, E17, E19 (versi bersih)</t>
  </si>
  <si>
    <t xml:space="preserve">Menghangatkan yang sudah menonton</t>
  </si>
  <si>
    <t xml:space="preserve">Interaksi / Pesan</t>
  </si>
  <si>
    <t xml:space="preserve">Penonton video 50%+</t>
  </si>
  <si>
    <t xml:space="preserve">Frekuensi, CTR</t>
  </si>
  <si>
    <t xml:space="preserve">Hentikan jika frekuensi tinggi</t>
  </si>
  <si>
    <t xml:space="preserve">Catatan: kreatif harga (set N 'harga') memuat Rp349.000 dan 081234556757. Selalu cek kebijakan iklan Meta sebelum menayangkan, terutama untuk klaim hukum (lembur, THR).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</si>
</sst>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 mmm\ yyyy"/>
    <numFmt numFmtId="166" formatCode="General"/>
    <numFmt numFmtId="167" formatCode="hh:mm"/>
    <numFmt numFmtId="168" formatCode="&quot;Rp&quot;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555555"/>
      <name val="Arial"/>
      <family val="0"/>
      <charset val="1"/>
    </font>
    <font>
      <b val="true"/>
      <sz val="11"/>
      <color rgb="FFC2410C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2B3"/>
        <bgColor rgb="FFFFF4D6"/>
      </patternFill>
    </fill>
    <fill>
      <patternFill patternType="solid">
        <fgColor rgb="FF17436A"/>
        <bgColor rgb="FF333399"/>
      </patternFill>
    </fill>
    <fill>
      <patternFill patternType="solid">
        <fgColor rgb="FFFDE9F1"/>
        <bgColor rgb="FFFFF4D6"/>
      </patternFill>
    </fill>
    <fill>
      <patternFill patternType="solid">
        <fgColor rgb="FFFFF4D6"/>
        <bgColor rgb="FFFFF2B3"/>
      </patternFill>
    </fill>
    <fill>
      <patternFill patternType="solid">
        <fgColor rgb="FFE6F2FB"/>
        <bgColor rgb="FFFDE9F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AE6"/>
      </left>
      <right style="thin">
        <color rgb="FFD0DAE6"/>
      </right>
      <top style="thin">
        <color rgb="FFD0DAE6"/>
      </top>
      <bottom style="thin">
        <color rgb="FFD0DAE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7436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6F2FB"/>
          <bgColor rgb="FF000000"/>
        </patternFill>
      </fill>
    </dxf>
    <dxf>
      <fill>
        <patternFill patternType="solid">
          <fgColor rgb="FFFDE9F1"/>
          <bgColor rgb="FF000000"/>
        </patternFill>
      </fill>
    </dxf>
    <dxf>
      <fill>
        <patternFill patternType="solid">
          <fgColor rgb="FFFFF4D6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D6"/>
      <rgbColor rgb="FFE6F2FB"/>
      <rgbColor rgb="FF660066"/>
      <rgbColor rgb="FFFF8080"/>
      <rgbColor rgb="FF0066CC"/>
      <rgbColor rgb="FFD0DA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DE9F1"/>
      <rgbColor rgb="FFCCFFCC"/>
      <rgbColor rgb="FFFFF2B3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7436A"/>
      <rgbColor rgb="FF339966"/>
      <rgbColor rgb="FF003300"/>
      <rgbColor rgb="FF333300"/>
      <rgbColor rgb="FFC2410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6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  <c r="B4" s="4" t="n">
        <v>46314</v>
      </c>
      <c r="C4" s="5" t="s">
        <v>3</v>
      </c>
    </row>
    <row r="5" customFormat="false" ht="15" hidden="false" customHeight="false" outlineLevel="0" collapsed="false">
      <c r="A5" s="3" t="s">
        <v>4</v>
      </c>
      <c r="B5" s="6" t="s">
        <v>5</v>
      </c>
      <c r="C5" s="5" t="s">
        <v>6</v>
      </c>
    </row>
    <row r="6" customFormat="false" ht="15" hidden="false" customHeight="false" outlineLevel="0" collapsed="false">
      <c r="A6" s="3" t="s">
        <v>7</v>
      </c>
      <c r="B6" s="6" t="s">
        <v>8</v>
      </c>
      <c r="C6" s="5"/>
    </row>
    <row r="7" customFormat="false" ht="15" hidden="false" customHeight="false" outlineLevel="0" collapsed="false">
      <c r="A7" s="3" t="s">
        <v>9</v>
      </c>
      <c r="B7" s="6" t="s">
        <v>10</v>
      </c>
      <c r="C7" s="5" t="s">
        <v>11</v>
      </c>
    </row>
    <row r="9" customFormat="false" ht="15" hidden="false" customHeight="false" outlineLevel="0" collapsed="false">
      <c r="A9" s="2" t="s">
        <v>12</v>
      </c>
    </row>
    <row r="10" customFormat="false" ht="15" hidden="false" customHeight="false" outlineLevel="0" collapsed="false">
      <c r="A10" s="3" t="s">
        <v>13</v>
      </c>
    </row>
    <row r="11" customFormat="false" ht="15" hidden="false" customHeight="false" outlineLevel="0" collapsed="false">
      <c r="A11" s="3" t="s">
        <v>14</v>
      </c>
    </row>
    <row r="12" customFormat="false" ht="15" hidden="false" customHeight="false" outlineLevel="0" collapsed="false">
      <c r="A12" s="3" t="s">
        <v>15</v>
      </c>
    </row>
    <row r="13" customFormat="false" ht="15" hidden="false" customHeight="false" outlineLevel="0" collapsed="false">
      <c r="A13" s="3" t="s">
        <v>16</v>
      </c>
    </row>
    <row r="14" customFormat="false" ht="15" hidden="false" customHeight="false" outlineLevel="0" collapsed="false">
      <c r="A14" s="3" t="s">
        <v>17</v>
      </c>
    </row>
    <row r="15" customFormat="false" ht="15" hidden="false" customHeight="false" outlineLevel="0" collapsed="false">
      <c r="A15" s="3" t="s">
        <v>18</v>
      </c>
    </row>
    <row r="17" customFormat="false" ht="15" hidden="false" customHeight="false" outlineLevel="0" collapsed="false">
      <c r="A17" s="7" t="s">
        <v>19</v>
      </c>
    </row>
    <row r="18" customFormat="false" ht="35.05" hidden="false" customHeight="false" outlineLevel="0" collapsed="false">
      <c r="A18" s="8" t="s">
        <v>20</v>
      </c>
    </row>
    <row r="19" customFormat="false" ht="35.05" hidden="false" customHeight="false" outlineLevel="0" collapsed="false">
      <c r="A19" s="8" t="s">
        <v>21</v>
      </c>
    </row>
    <row r="20" customFormat="false" ht="35.05" hidden="false" customHeight="false" outlineLevel="0" collapsed="false">
      <c r="A20" s="8" t="s">
        <v>22</v>
      </c>
    </row>
    <row r="21" customFormat="false" ht="23.85" hidden="false" customHeight="false" outlineLevel="0" collapsed="false">
      <c r="A21" s="8" t="s">
        <v>23</v>
      </c>
    </row>
    <row r="23" customFormat="false" ht="15" hidden="false" customHeight="false" outlineLevel="0" collapsed="false">
      <c r="A23" s="2" t="s">
        <v>24</v>
      </c>
    </row>
    <row r="24" customFormat="false" ht="15" hidden="false" customHeight="false" outlineLevel="0" collapsed="false">
      <c r="A24" s="3" t="s">
        <v>25</v>
      </c>
      <c r="B24" s="9" t="n">
        <f aca="false">COUNTA('Jadwal 8 Minggu'!A5:A400)</f>
        <v>129</v>
      </c>
    </row>
    <row r="25" customFormat="false" ht="15" hidden="false" customHeight="false" outlineLevel="0" collapsed="false">
      <c r="A25" s="3" t="s">
        <v>26</v>
      </c>
      <c r="B25" s="9" t="n">
        <f aca="false">COUNTIF('Jadwal 8 Minggu'!E5:E400,"IG Reels")</f>
        <v>40</v>
      </c>
    </row>
    <row r="26" customFormat="false" ht="15" hidden="false" customHeight="false" outlineLevel="0" collapsed="false">
      <c r="A26" s="3" t="s">
        <v>27</v>
      </c>
      <c r="B26" s="9" t="n">
        <f aca="false">COUNTIF('Jadwal 8 Minggu'!E5:E400,"IG Feed")</f>
        <v>32</v>
      </c>
    </row>
    <row r="27" customFormat="false" ht="15" hidden="false" customHeight="false" outlineLevel="0" collapsed="false">
      <c r="A27" s="3" t="s">
        <v>28</v>
      </c>
      <c r="B27" s="9" t="n">
        <f aca="false">COUNTIF('Jadwal 8 Minggu'!E5:E400,"TikTok")</f>
        <v>56</v>
      </c>
    </row>
    <row r="28" customFormat="false" ht="15" hidden="false" customHeight="false" outlineLevel="0" collapsed="false">
      <c r="A28" s="3" t="s">
        <v>29</v>
      </c>
      <c r="B28" s="9" t="n">
        <f aca="false">COUNTIF('Jadwal 8 Minggu'!E5:E400,"TikTok Foto")</f>
        <v>1</v>
      </c>
    </row>
    <row r="29" customFormat="false" ht="15" hidden="false" customHeight="false" outlineLevel="0" collapsed="false">
      <c r="A29" s="3" t="s">
        <v>30</v>
      </c>
      <c r="B29" s="9" t="n">
        <f aca="false">COUNTIF('Jadwal 8 Minggu'!L5:L400,"Terposting")</f>
        <v>0</v>
      </c>
    </row>
    <row r="30" customFormat="false" ht="15" hidden="false" customHeight="false" outlineLevel="0" collapsed="false">
      <c r="A30" s="3" t="s">
        <v>31</v>
      </c>
      <c r="B30" s="9" t="n">
        <f aca="false">B24-B29</f>
        <v>129</v>
      </c>
    </row>
    <row r="32" customFormat="false" ht="15" hidden="false" customHeight="false" outlineLevel="0" collapsed="false">
      <c r="A32" s="2" t="s">
        <v>32</v>
      </c>
    </row>
    <row r="33" customFormat="false" ht="15" hidden="false" customHeight="false" outlineLevel="0" collapsed="false">
      <c r="A33" s="3" t="s">
        <v>33</v>
      </c>
    </row>
    <row r="34" customFormat="false" ht="15" hidden="false" customHeight="false" outlineLevel="0" collapsed="false">
      <c r="A34" s="3" t="s">
        <v>34</v>
      </c>
    </row>
    <row r="36" customFormat="false" ht="15" hidden="false" customHeight="false" outlineLevel="0" collapsed="false">
      <c r="A36" s="1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5" min="5" style="0" width="13"/>
    <col collapsed="false" customWidth="true" hidden="false" outlineLevel="0" max="6" min="6" style="0" width="18"/>
    <col collapsed="false" customWidth="true" hidden="false" outlineLevel="0" max="7" min="7" style="0" width="12"/>
    <col collapsed="false" customWidth="true" hidden="false" outlineLevel="0" max="8" min="8" style="0" width="46"/>
    <col collapsed="false" customWidth="true" hidden="false" outlineLevel="0" max="9" min="9" style="0" width="18"/>
    <col collapsed="false" customWidth="true" hidden="false" outlineLevel="0" max="10" min="10" style="0" width="60"/>
    <col collapsed="false" customWidth="true" hidden="false" outlineLevel="0" max="11" min="11" style="0" width="30"/>
    <col collapsed="false" customWidth="true" hidden="false" outlineLevel="0" max="12" min="12" style="0" width="13"/>
  </cols>
  <sheetData>
    <row r="1" customFormat="false" ht="17.35" hidden="false" customHeight="false" outlineLevel="0" collapsed="false">
      <c r="A1" s="1" t="s">
        <v>36</v>
      </c>
    </row>
    <row r="2" customFormat="false" ht="15" hidden="false" customHeight="false" outlineLevel="0" collapsed="false">
      <c r="A2" s="10" t="s">
        <v>37</v>
      </c>
    </row>
    <row r="4" customFormat="false" ht="23.85" hidden="false" customHeight="false" outlineLevel="0" collapsed="false">
      <c r="A4" s="11" t="s">
        <v>38</v>
      </c>
      <c r="B4" s="11" t="s">
        <v>39</v>
      </c>
      <c r="C4" s="11" t="s">
        <v>40</v>
      </c>
      <c r="D4" s="11" t="s">
        <v>41</v>
      </c>
      <c r="E4" s="11" t="s">
        <v>42</v>
      </c>
      <c r="F4" s="11" t="s">
        <v>43</v>
      </c>
      <c r="G4" s="11" t="s">
        <v>44</v>
      </c>
      <c r="H4" s="11" t="s">
        <v>45</v>
      </c>
      <c r="I4" s="11" t="s">
        <v>46</v>
      </c>
      <c r="J4" s="11" t="s">
        <v>47</v>
      </c>
      <c r="K4" s="11" t="s">
        <v>48</v>
      </c>
      <c r="L4" s="11" t="s">
        <v>49</v>
      </c>
    </row>
    <row r="5" customFormat="false" ht="23.85" hidden="false" customHeight="false" outlineLevel="0" collapsed="false">
      <c r="A5" s="12" t="n">
        <v>1</v>
      </c>
      <c r="B5" s="13" t="n">
        <f aca="false">Panduan!$B$4+0</f>
        <v>46314</v>
      </c>
      <c r="C5" s="12" t="str">
        <f aca="false">CHOOSE(WEEKDAY(B5,2),"Senin","Selasa","Rabu","Kamis","Jumat","Sabtu","Minggu")</f>
        <v>Senin</v>
      </c>
      <c r="D5" s="14" t="str">
        <f aca="false">Panduan!$B$5</f>
        <v>12:00</v>
      </c>
      <c r="E5" s="15" t="s">
        <v>26</v>
      </c>
      <c r="F5" s="12" t="s">
        <v>50</v>
      </c>
      <c r="G5" s="12" t="s">
        <v>51</v>
      </c>
      <c r="H5" s="12" t="str">
        <f aca="false">IFERROR(INDEX('Daftar Konten'!$D:$D,MATCH(G5,'Daftar Konten'!$A:$A,0)),"")</f>
        <v>Cara hitung lembur: mulai dari upah sejam</v>
      </c>
      <c r="I5" s="12" t="s">
        <v>52</v>
      </c>
      <c r="J5" s="12" t="str">
        <f aca="false">IFERROR(INDEX('Daftar Konten'!$G:$G,MATCH(G5,'Daftar Konten'!$A:$A,0)),"")</f>
        <v>Hitung lembur mulai dari upah sejam: upah sebulan dibagi 173. Simpan untuk dihitung ulang. Informasi umum, cek aturan terbaru.</v>
      </c>
      <c r="K5" s="12" t="s">
        <v>53</v>
      </c>
      <c r="L5" s="16" t="s">
        <v>54</v>
      </c>
    </row>
    <row r="6" customFormat="false" ht="35.05" hidden="false" customHeight="false" outlineLevel="0" collapsed="false">
      <c r="A6" s="12" t="n">
        <v>2</v>
      </c>
      <c r="B6" s="13" t="n">
        <f aca="false">Panduan!$B$4+0</f>
        <v>46314</v>
      </c>
      <c r="C6" s="12" t="str">
        <f aca="false">CHOOSE(WEEKDAY(B6,2),"Senin","Selasa","Rabu","Kamis","Jumat","Sabtu","Minggu")</f>
        <v>Senin</v>
      </c>
      <c r="D6" s="14" t="str">
        <f aca="false">Panduan!$B$6</f>
        <v>19:00</v>
      </c>
      <c r="E6" s="17" t="s">
        <v>27</v>
      </c>
      <c r="F6" s="12" t="s">
        <v>55</v>
      </c>
      <c r="G6" s="12" t="s">
        <v>56</v>
      </c>
      <c r="H6" s="12" t="str">
        <f aca="false">IFERROR(INDEX('Daftar Konten'!$D:$D,MATCH(G6,'Daftar Konten'!$A:$A,0)),"")</f>
        <v>Katanya masuk jam 8. Buktinya mana?</v>
      </c>
      <c r="I6" s="12" t="s">
        <v>57</v>
      </c>
      <c r="J6" s="12" t="str">
        <f aca="false">IFERROR(INDEX('Daftar Konten'!$G:$G,MATCH(G6,'Daftar Konten'!$A:$A,0)),"")</f>
        <v>Katanya sudah masuk jam 8, tapi buktinya tidak ada. Absen yang benar punya bukti: selfie, lokasi, jam otomatis. Pernah mengalami ini? Tulis di komentar. Mau tanya-tanya, WA 081234556757.</v>
      </c>
      <c r="K6" s="12" t="s">
        <v>58</v>
      </c>
      <c r="L6" s="16" t="s">
        <v>54</v>
      </c>
    </row>
    <row r="7" customFormat="false" ht="23.85" hidden="false" customHeight="false" outlineLevel="0" collapsed="false">
      <c r="A7" s="12" t="n">
        <v>3</v>
      </c>
      <c r="B7" s="13" t="n">
        <f aca="false">Panduan!$B$4+0</f>
        <v>46314</v>
      </c>
      <c r="C7" s="12" t="str">
        <f aca="false">CHOOSE(WEEKDAY(B7,2),"Senin","Selasa","Rabu","Kamis","Jumat","Sabtu","Minggu")</f>
        <v>Senin</v>
      </c>
      <c r="D7" s="14" t="str">
        <f aca="false">Panduan!$B$7</f>
        <v>20:30</v>
      </c>
      <c r="E7" s="18" t="s">
        <v>59</v>
      </c>
      <c r="F7" s="12" t="s">
        <v>50</v>
      </c>
      <c r="G7" s="12" t="s">
        <v>51</v>
      </c>
      <c r="H7" s="12" t="str">
        <f aca="false">IFERROR(INDEX('Daftar Konten'!$D:$D,MATCH(G7,'Daftar Konten'!$A:$A,0)),"")</f>
        <v>Cara hitung lembur: mulai dari upah sejam</v>
      </c>
      <c r="I7" s="12" t="s">
        <v>52</v>
      </c>
      <c r="J7" s="12" t="str">
        <f aca="false">IFERROR(INDEX('Daftar Konten'!$G:$G,MATCH(G7,'Daftar Konten'!$A:$A,0)),"")</f>
        <v>Hitung lembur mulai dari upah sejam: upah sebulan dibagi 173. Simpan untuk dihitung ulang. Informasi umum, cek aturan terbaru.</v>
      </c>
      <c r="K7" s="12" t="s">
        <v>60</v>
      </c>
      <c r="L7" s="16" t="s">
        <v>54</v>
      </c>
    </row>
    <row r="8" customFormat="false" ht="15" hidden="false" customHeight="false" outlineLevel="0" collapsed="false">
      <c r="A8" s="12" t="n">
        <v>4</v>
      </c>
      <c r="B8" s="13" t="n">
        <f aca="false">Panduan!$B$4+1</f>
        <v>46315</v>
      </c>
      <c r="C8" s="12" t="str">
        <f aca="false">CHOOSE(WEEKDAY(B8,2),"Senin","Selasa","Rabu","Kamis","Jumat","Sabtu","Minggu")</f>
        <v>Selasa</v>
      </c>
      <c r="D8" s="14" t="str">
        <f aca="false">Panduan!$B$5</f>
        <v>12:00</v>
      </c>
      <c r="E8" s="15" t="s">
        <v>26</v>
      </c>
      <c r="F8" s="12" t="s">
        <v>50</v>
      </c>
      <c r="G8" s="12" t="s">
        <v>61</v>
      </c>
      <c r="H8" s="12" t="str">
        <f aca="false">IFERROR(INDEX('Daftar Konten'!$D:$D,MATCH(G8,'Daftar Konten'!$A:$A,0)),"")</f>
        <v>Jadwal shift yang adil: 3 aturan dasar</v>
      </c>
      <c r="I8" s="12" t="s">
        <v>52</v>
      </c>
      <c r="J8" s="12" t="str">
        <f aca="false">IFERROR(INDEX('Daftar Konten'!$G:$G,MATCH(G8,'Daftar Konten'!$A:$A,0)),"")</f>
        <v>Jadwal shift yang adil: 3 aturan dasar Setuju? Tulis di komentar.</v>
      </c>
      <c r="K8" s="12" t="s">
        <v>53</v>
      </c>
      <c r="L8" s="16" t="s">
        <v>54</v>
      </c>
    </row>
    <row r="9" customFormat="false" ht="15" hidden="false" customHeight="false" outlineLevel="0" collapsed="false">
      <c r="A9" s="12" t="n">
        <v>5</v>
      </c>
      <c r="B9" s="13" t="n">
        <f aca="false">Panduan!$B$4+1</f>
        <v>46315</v>
      </c>
      <c r="C9" s="12" t="str">
        <f aca="false">CHOOSE(WEEKDAY(B9,2),"Senin","Selasa","Rabu","Kamis","Jumat","Sabtu","Minggu")</f>
        <v>Selasa</v>
      </c>
      <c r="D9" s="14" t="str">
        <f aca="false">Panduan!$B$7</f>
        <v>20:30</v>
      </c>
      <c r="E9" s="18" t="s">
        <v>59</v>
      </c>
      <c r="F9" s="12" t="s">
        <v>50</v>
      </c>
      <c r="G9" s="12" t="s">
        <v>61</v>
      </c>
      <c r="H9" s="12" t="str">
        <f aca="false">IFERROR(INDEX('Daftar Konten'!$D:$D,MATCH(G9,'Daftar Konten'!$A:$A,0)),"")</f>
        <v>Jadwal shift yang adil: 3 aturan dasar</v>
      </c>
      <c r="I9" s="12" t="s">
        <v>52</v>
      </c>
      <c r="J9" s="12" t="str">
        <f aca="false">IFERROR(INDEX('Daftar Konten'!$G:$G,MATCH(G9,'Daftar Konten'!$A:$A,0)),"")</f>
        <v>Jadwal shift yang adil: 3 aturan dasar Setuju? Tulis di komentar.</v>
      </c>
      <c r="K9" s="12" t="s">
        <v>60</v>
      </c>
      <c r="L9" s="16" t="s">
        <v>54</v>
      </c>
    </row>
    <row r="10" customFormat="false" ht="23.85" hidden="false" customHeight="false" outlineLevel="0" collapsed="false">
      <c r="A10" s="12" t="n">
        <v>6</v>
      </c>
      <c r="B10" s="13" t="n">
        <f aca="false">Panduan!$B$4+2</f>
        <v>46316</v>
      </c>
      <c r="C10" s="12" t="str">
        <f aca="false">CHOOSE(WEEKDAY(B10,2),"Senin","Selasa","Rabu","Kamis","Jumat","Sabtu","Minggu")</f>
        <v>Rabu</v>
      </c>
      <c r="D10" s="14" t="str">
        <f aca="false">Panduan!$B$5</f>
        <v>12:00</v>
      </c>
      <c r="E10" s="15" t="s">
        <v>26</v>
      </c>
      <c r="F10" s="12" t="s">
        <v>50</v>
      </c>
      <c r="G10" s="12" t="s">
        <v>62</v>
      </c>
      <c r="H10" s="12" t="str">
        <f aca="false">IFERROR(INDEX('Daftar Konten'!$D:$D,MATCH(G10,'Daftar Konten'!$A:$A,0)),"")</f>
        <v>HrCash dalam 20 detik.</v>
      </c>
      <c r="I10" s="12" t="s">
        <v>63</v>
      </c>
      <c r="J10" s="12" t="str">
        <f aca="false">IFERROR(INDEX('Daftar Konten'!$G:$G,MATCH(G10,'Daftar Konten'!$A:$A,0)),"")</f>
        <v>Tur singkat HrCash: PIN, lokasi, selfie, selesai. Mau tahu lebih banyak? Tulis di komentar.</v>
      </c>
      <c r="K10" s="12" t="s">
        <v>53</v>
      </c>
      <c r="L10" s="16" t="s">
        <v>54</v>
      </c>
    </row>
    <row r="11" customFormat="false" ht="35.05" hidden="false" customHeight="false" outlineLevel="0" collapsed="false">
      <c r="A11" s="12" t="n">
        <v>7</v>
      </c>
      <c r="B11" s="13" t="n">
        <f aca="false">Panduan!$B$4+2</f>
        <v>46316</v>
      </c>
      <c r="C11" s="12" t="str">
        <f aca="false">CHOOSE(WEEKDAY(B11,2),"Senin","Selasa","Rabu","Kamis","Jumat","Sabtu","Minggu")</f>
        <v>Rabu</v>
      </c>
      <c r="D11" s="14" t="str">
        <f aca="false">Panduan!$B$6</f>
        <v>19:00</v>
      </c>
      <c r="E11" s="17" t="s">
        <v>27</v>
      </c>
      <c r="F11" s="12" t="s">
        <v>64</v>
      </c>
      <c r="G11" s="12" t="s">
        <v>65</v>
      </c>
      <c r="H11" s="12" t="str">
        <f aca="false">IFERROR(INDEX('Daftar Konten'!$D:$D,MATCH(G11,'Daftar Konten'!$A:$A,0)),"")</f>
        <v>Gaji habis sebelum tanggal tua? Cek 3 bocor halus ini</v>
      </c>
      <c r="I11" s="12" t="s">
        <v>66</v>
      </c>
      <c r="J11" s="12" t="str">
        <f aca="false">IFERROR(INDEX('Daftar Konten'!$G:$G,MATCH(G11,'Daftar Konten'!$A:$A,0)),"")</f>
        <v>Gaji cepat habis padahal merasa tidak belanja besar? Sering kali bocornya halus. Catat pengeluaran 1 bulan penuh, lalu lihat totalnya. Simpan postingan ini untuk dicek di akhir bulan.</v>
      </c>
      <c r="K11" s="12" t="s">
        <v>58</v>
      </c>
      <c r="L11" s="16" t="s">
        <v>54</v>
      </c>
    </row>
    <row r="12" customFormat="false" ht="23.85" hidden="false" customHeight="false" outlineLevel="0" collapsed="false">
      <c r="A12" s="12" t="n">
        <v>8</v>
      </c>
      <c r="B12" s="13" t="n">
        <f aca="false">Panduan!$B$4+2</f>
        <v>46316</v>
      </c>
      <c r="C12" s="12" t="str">
        <f aca="false">CHOOSE(WEEKDAY(B12,2),"Senin","Selasa","Rabu","Kamis","Jumat","Sabtu","Minggu")</f>
        <v>Rabu</v>
      </c>
      <c r="D12" s="14" t="str">
        <f aca="false">Panduan!$B$7</f>
        <v>20:30</v>
      </c>
      <c r="E12" s="18" t="s">
        <v>59</v>
      </c>
      <c r="F12" s="12" t="s">
        <v>50</v>
      </c>
      <c r="G12" s="12" t="s">
        <v>62</v>
      </c>
      <c r="H12" s="12" t="str">
        <f aca="false">IFERROR(INDEX('Daftar Konten'!$D:$D,MATCH(G12,'Daftar Konten'!$A:$A,0)),"")</f>
        <v>HrCash dalam 20 detik.</v>
      </c>
      <c r="I12" s="12" t="s">
        <v>63</v>
      </c>
      <c r="J12" s="12" t="str">
        <f aca="false">IFERROR(INDEX('Daftar Konten'!$G:$G,MATCH(G12,'Daftar Konten'!$A:$A,0)),"")</f>
        <v>Tur singkat HrCash: PIN, lokasi, selfie, selesai. Mau tahu lebih banyak? Tulis di komentar.</v>
      </c>
      <c r="K12" s="12" t="s">
        <v>60</v>
      </c>
      <c r="L12" s="16" t="s">
        <v>54</v>
      </c>
    </row>
    <row r="13" customFormat="false" ht="23.85" hidden="false" customHeight="false" outlineLevel="0" collapsed="false">
      <c r="A13" s="12" t="n">
        <v>9</v>
      </c>
      <c r="B13" s="13" t="n">
        <f aca="false">Panduan!$B$4+2</f>
        <v>46316</v>
      </c>
      <c r="C13" s="12" t="str">
        <f aca="false">CHOOSE(WEEKDAY(B13,2),"Senin","Selasa","Rabu","Kamis","Jumat","Sabtu","Minggu")</f>
        <v>Rabu</v>
      </c>
      <c r="D13" s="14" t="str">
        <f aca="false">Panduan!$B$7</f>
        <v>20:30</v>
      </c>
      <c r="E13" s="18" t="s">
        <v>67</v>
      </c>
      <c r="F13" s="12" t="s">
        <v>68</v>
      </c>
      <c r="G13" s="12" t="s">
        <v>69</v>
      </c>
      <c r="H13" s="12" t="str">
        <f aca="false">IFERROR(INDEX('Daftar Konten'!$D:$D,MATCH(G13,'Daftar Konten'!$A:$A,0)),"")</f>
        <v>Katanya masuk jam 8. Buktinya mana?</v>
      </c>
      <c r="I13" s="12" t="s">
        <v>57</v>
      </c>
      <c r="J13" s="12" t="str">
        <f aca="false">IFERROR(INDEX('Daftar Konten'!$G:$G,MATCH(G13,'Daftar Konten'!$A:$A,0)),"")</f>
        <v>Katanya masuk jam 8, buktinya mana? Absen pakai bukti: selfie + lokasi + jam otomatis. Pernah kejadian? Komen ya.</v>
      </c>
      <c r="K13" s="12" t="s">
        <v>70</v>
      </c>
      <c r="L13" s="16" t="s">
        <v>54</v>
      </c>
    </row>
    <row r="14" customFormat="false" ht="23.85" hidden="false" customHeight="false" outlineLevel="0" collapsed="false">
      <c r="A14" s="12" t="n">
        <v>10</v>
      </c>
      <c r="B14" s="13" t="n">
        <f aca="false">Panduan!$B$4+3</f>
        <v>46317</v>
      </c>
      <c r="C14" s="12" t="str">
        <f aca="false">CHOOSE(WEEKDAY(B14,2),"Senin","Selasa","Rabu","Kamis","Jumat","Sabtu","Minggu")</f>
        <v>Kamis</v>
      </c>
      <c r="D14" s="14" t="str">
        <f aca="false">Panduan!$B$5</f>
        <v>12:00</v>
      </c>
      <c r="E14" s="15" t="s">
        <v>26</v>
      </c>
      <c r="F14" s="12" t="s">
        <v>50</v>
      </c>
      <c r="G14" s="12" t="s">
        <v>71</v>
      </c>
      <c r="H14" s="12" t="str">
        <f aca="false">IFERROR(INDEX('Daftar Konten'!$D:$D,MATCH(G14,'Daftar Konten'!$A:$A,0)),"")</f>
        <v>POV: Karyawan chat 'macet, Pak' jam 8 lewat 5</v>
      </c>
      <c r="I14" s="12" t="s">
        <v>63</v>
      </c>
      <c r="J14" s="12" t="str">
        <f aca="false">IFERROR(INDEX('Daftar Konten'!$G:$G,MATCH(G14,'Daftar Konten'!$A:$A,0)),"")</f>
        <v>POV: Karyawan chat 'macet, Pak' jam 8 lewat 5 Setuju? Tulis di komentar.</v>
      </c>
      <c r="K14" s="12" t="s">
        <v>53</v>
      </c>
      <c r="L14" s="16" t="s">
        <v>54</v>
      </c>
    </row>
    <row r="15" customFormat="false" ht="23.85" hidden="false" customHeight="false" outlineLevel="0" collapsed="false">
      <c r="A15" s="12" t="n">
        <v>11</v>
      </c>
      <c r="B15" s="13" t="n">
        <f aca="false">Panduan!$B$4+3</f>
        <v>46317</v>
      </c>
      <c r="C15" s="12" t="str">
        <f aca="false">CHOOSE(WEEKDAY(B15,2),"Senin","Selasa","Rabu","Kamis","Jumat","Sabtu","Minggu")</f>
        <v>Kamis</v>
      </c>
      <c r="D15" s="14" t="str">
        <f aca="false">Panduan!$B$7</f>
        <v>20:30</v>
      </c>
      <c r="E15" s="18" t="s">
        <v>59</v>
      </c>
      <c r="F15" s="12" t="s">
        <v>50</v>
      </c>
      <c r="G15" s="12" t="s">
        <v>71</v>
      </c>
      <c r="H15" s="12" t="str">
        <f aca="false">IFERROR(INDEX('Daftar Konten'!$D:$D,MATCH(G15,'Daftar Konten'!$A:$A,0)),"")</f>
        <v>POV: Karyawan chat 'macet, Pak' jam 8 lewat 5</v>
      </c>
      <c r="I15" s="12" t="s">
        <v>63</v>
      </c>
      <c r="J15" s="12" t="str">
        <f aca="false">IFERROR(INDEX('Daftar Konten'!$G:$G,MATCH(G15,'Daftar Konten'!$A:$A,0)),"")</f>
        <v>POV: Karyawan chat 'macet, Pak' jam 8 lewat 5 Setuju? Tulis di komentar.</v>
      </c>
      <c r="K15" s="12" t="s">
        <v>60</v>
      </c>
      <c r="L15" s="16" t="s">
        <v>54</v>
      </c>
    </row>
    <row r="16" customFormat="false" ht="23.85" hidden="false" customHeight="false" outlineLevel="0" collapsed="false">
      <c r="A16" s="12" t="n">
        <v>12</v>
      </c>
      <c r="B16" s="13" t="n">
        <f aca="false">Panduan!$B$4+4</f>
        <v>46318</v>
      </c>
      <c r="C16" s="12" t="str">
        <f aca="false">CHOOSE(WEEKDAY(B16,2),"Senin","Selasa","Rabu","Kamis","Jumat","Sabtu","Minggu")</f>
        <v>Jumat</v>
      </c>
      <c r="D16" s="14" t="str">
        <f aca="false">Panduan!$B$5</f>
        <v>12:00</v>
      </c>
      <c r="E16" s="15" t="s">
        <v>26</v>
      </c>
      <c r="F16" s="12" t="s">
        <v>50</v>
      </c>
      <c r="G16" s="12" t="s">
        <v>72</v>
      </c>
      <c r="H16" s="12" t="str">
        <f aca="false">IFERROR(INDEX('Daftar Konten'!$D:$D,MATCH(G16,'Daftar Konten'!$A:$A,0)),"")</f>
        <v>Punya warung makan? Begini absen karyawannya</v>
      </c>
      <c r="I16" s="12" t="s">
        <v>73</v>
      </c>
      <c r="J16" s="12" t="str">
        <f aca="false">IFERROR(INDEX('Daftar Konten'!$G:$G,MATCH(G16,'Daftar Konten'!$A:$A,0)),"")</f>
        <v>Punya warung makan? Begini absen karyawannya Setuju? Tulis di komentar.</v>
      </c>
      <c r="K16" s="12" t="s">
        <v>53</v>
      </c>
      <c r="L16" s="16" t="s">
        <v>54</v>
      </c>
    </row>
    <row r="17" customFormat="false" ht="23.85" hidden="false" customHeight="false" outlineLevel="0" collapsed="false">
      <c r="A17" s="12" t="n">
        <v>13</v>
      </c>
      <c r="B17" s="13" t="n">
        <f aca="false">Panduan!$B$4+4</f>
        <v>46318</v>
      </c>
      <c r="C17" s="12" t="str">
        <f aca="false">CHOOSE(WEEKDAY(B17,2),"Senin","Selasa","Rabu","Kamis","Jumat","Sabtu","Minggu")</f>
        <v>Jumat</v>
      </c>
      <c r="D17" s="14" t="str">
        <f aca="false">Panduan!$B$6</f>
        <v>19:00</v>
      </c>
      <c r="E17" s="17" t="s">
        <v>27</v>
      </c>
      <c r="F17" s="12" t="s">
        <v>64</v>
      </c>
      <c r="G17" s="12" t="s">
        <v>74</v>
      </c>
      <c r="H17" s="12" t="str">
        <f aca="false">IFERROR(INDEX('Daftar Konten'!$D:$D,MATCH(G17,'Daftar Konten'!$A:$A,0)),"")</f>
        <v>3 kebiasaan keuangan sehat</v>
      </c>
      <c r="I17" s="12" t="s">
        <v>66</v>
      </c>
      <c r="J17" s="12" t="str">
        <f aca="false">IFERROR(INDEX('Daftar Konten'!$G:$G,MATCH(G17,'Daftar Konten'!$A:$A,0)),"")</f>
        <v>Tiga kebiasaan kecil yang bikin keuangan lebih sehat. Mulai satu dulu. Informasi umum.</v>
      </c>
      <c r="K17" s="12" t="s">
        <v>58</v>
      </c>
      <c r="L17" s="16" t="s">
        <v>54</v>
      </c>
    </row>
    <row r="18" customFormat="false" ht="23.85" hidden="false" customHeight="false" outlineLevel="0" collapsed="false">
      <c r="A18" s="12" t="n">
        <v>14</v>
      </c>
      <c r="B18" s="13" t="n">
        <f aca="false">Panduan!$B$4+4</f>
        <v>46318</v>
      </c>
      <c r="C18" s="12" t="str">
        <f aca="false">CHOOSE(WEEKDAY(B18,2),"Senin","Selasa","Rabu","Kamis","Jumat","Sabtu","Minggu")</f>
        <v>Jumat</v>
      </c>
      <c r="D18" s="14" t="str">
        <f aca="false">Panduan!$B$7</f>
        <v>20:30</v>
      </c>
      <c r="E18" s="18" t="s">
        <v>59</v>
      </c>
      <c r="F18" s="12" t="s">
        <v>50</v>
      </c>
      <c r="G18" s="12" t="s">
        <v>72</v>
      </c>
      <c r="H18" s="12" t="str">
        <f aca="false">IFERROR(INDEX('Daftar Konten'!$D:$D,MATCH(G18,'Daftar Konten'!$A:$A,0)),"")</f>
        <v>Punya warung makan? Begini absen karyawannya</v>
      </c>
      <c r="I18" s="12" t="s">
        <v>73</v>
      </c>
      <c r="J18" s="12" t="str">
        <f aca="false">IFERROR(INDEX('Daftar Konten'!$G:$G,MATCH(G18,'Daftar Konten'!$A:$A,0)),"")</f>
        <v>Punya warung makan? Begini absen karyawannya Setuju? Tulis di komentar.</v>
      </c>
      <c r="K18" s="12" t="s">
        <v>60</v>
      </c>
      <c r="L18" s="16" t="s">
        <v>54</v>
      </c>
    </row>
    <row r="19" customFormat="false" ht="15" hidden="false" customHeight="false" outlineLevel="0" collapsed="false">
      <c r="A19" s="12" t="n">
        <v>15</v>
      </c>
      <c r="B19" s="13" t="n">
        <f aca="false">Panduan!$B$4+5</f>
        <v>46319</v>
      </c>
      <c r="C19" s="12" t="str">
        <f aca="false">CHOOSE(WEEKDAY(B19,2),"Senin","Selasa","Rabu","Kamis","Jumat","Sabtu","Minggu")</f>
        <v>Sabtu</v>
      </c>
      <c r="D19" s="14" t="str">
        <f aca="false">Panduan!$B$7</f>
        <v>20:30</v>
      </c>
      <c r="E19" s="18" t="s">
        <v>59</v>
      </c>
      <c r="F19" s="12" t="s">
        <v>50</v>
      </c>
      <c r="G19" s="12" t="s">
        <v>75</v>
      </c>
      <c r="H19" s="12" t="str">
        <f aca="false">IFERROR(INDEX('Daftar Konten'!$D:$D,MATCH(G19,'Daftar Konten'!$A:$A,0)),"")</f>
        <v>POV: Pukul 7 pagi, HP owner sudah bunyi.</v>
      </c>
      <c r="I19" s="12" t="s">
        <v>76</v>
      </c>
      <c r="J19" s="12" t="str">
        <f aca="false">IFERROR(INDEX('Daftar Konten'!$G:$G,MATCH(G19,'Daftar Konten'!$A:$A,0)),"")</f>
        <v>POV: Pukul 7 pagi, HP owner sudah bunyi. Setuju? Tulis di komentar.</v>
      </c>
      <c r="K19" s="12" t="s">
        <v>77</v>
      </c>
      <c r="L19" s="16" t="s">
        <v>54</v>
      </c>
    </row>
    <row r="20" customFormat="false" ht="23.85" hidden="false" customHeight="false" outlineLevel="0" collapsed="false">
      <c r="A20" s="12" t="n">
        <v>16</v>
      </c>
      <c r="B20" s="13" t="n">
        <f aca="false">Panduan!$B$4+6</f>
        <v>46320</v>
      </c>
      <c r="C20" s="12" t="str">
        <f aca="false">CHOOSE(WEEKDAY(B20,2),"Senin","Selasa","Rabu","Kamis","Jumat","Sabtu","Minggu")</f>
        <v>Minggu</v>
      </c>
      <c r="D20" s="14" t="str">
        <f aca="false">Panduan!$B$6</f>
        <v>19:00</v>
      </c>
      <c r="E20" s="17" t="s">
        <v>27</v>
      </c>
      <c r="F20" s="12" t="s">
        <v>64</v>
      </c>
      <c r="G20" s="12" t="s">
        <v>78</v>
      </c>
      <c r="H20" s="12" t="str">
        <f aca="false">IFERROR(INDEX('Daftar Konten'!$D:$D,MATCH(G20,'Daftar Konten'!$A:$A,0)),"")</f>
        <v>Side hustle modal di bawah Rp1 juta</v>
      </c>
      <c r="I20" s="12" t="s">
        <v>66</v>
      </c>
      <c r="J20" s="12" t="str">
        <f aca="false">IFERROR(INDEX('Daftar Konten'!$G:$G,MATCH(G20,'Daftar Konten'!$A:$A,0)),"")</f>
        <v>Ide side hustle dengan modal kecil. Pilih satu, coba 30 hari, lalu evaluasi. Ide mana yang paling cocok denganmu?</v>
      </c>
      <c r="K20" s="12" t="s">
        <v>58</v>
      </c>
      <c r="L20" s="16" t="s">
        <v>54</v>
      </c>
    </row>
    <row r="21" customFormat="false" ht="15" hidden="false" customHeight="false" outlineLevel="0" collapsed="false">
      <c r="A21" s="12" t="n">
        <v>17</v>
      </c>
      <c r="B21" s="13" t="n">
        <f aca="false">Panduan!$B$4+6</f>
        <v>46320</v>
      </c>
      <c r="C21" s="12" t="str">
        <f aca="false">CHOOSE(WEEKDAY(B21,2),"Senin","Selasa","Rabu","Kamis","Jumat","Sabtu","Minggu")</f>
        <v>Minggu</v>
      </c>
      <c r="D21" s="14" t="str">
        <f aca="false">Panduan!$B$7</f>
        <v>20:30</v>
      </c>
      <c r="E21" s="18" t="s">
        <v>59</v>
      </c>
      <c r="F21" s="12" t="s">
        <v>50</v>
      </c>
      <c r="G21" s="12" t="s">
        <v>79</v>
      </c>
      <c r="H21" s="12" t="str">
        <f aca="false">IFERROR(INDEX('Daftar Konten'!$D:$D,MATCH(G21,'Daftar Konten'!$A:$A,0)),"")</f>
        <v>Berapa jam setahun kamu habiskan urus gaji?</v>
      </c>
      <c r="I21" s="12" t="s">
        <v>76</v>
      </c>
      <c r="J21" s="12" t="str">
        <f aca="false">IFERROR(INDEX('Daftar Konten'!$G:$G,MATCH(G21,'Daftar Konten'!$A:$A,0)),"")</f>
        <v>Berapa jam setahun kamu habiskan urus gaji? Setuju? Tulis di komentar.</v>
      </c>
      <c r="K21" s="12" t="s">
        <v>77</v>
      </c>
      <c r="L21" s="16" t="s">
        <v>54</v>
      </c>
    </row>
    <row r="22" customFormat="false" ht="15" hidden="false" customHeight="false" outlineLevel="0" collapsed="false">
      <c r="A22" s="12" t="n">
        <v>18</v>
      </c>
      <c r="B22" s="13" t="n">
        <f aca="false">Panduan!$B$4+7</f>
        <v>46321</v>
      </c>
      <c r="C22" s="12" t="str">
        <f aca="false">CHOOSE(WEEKDAY(B22,2),"Senin","Selasa","Rabu","Kamis","Jumat","Sabtu","Minggu")</f>
        <v>Senin</v>
      </c>
      <c r="D22" s="14" t="str">
        <f aca="false">Panduan!$B$5</f>
        <v>12:00</v>
      </c>
      <c r="E22" s="15" t="s">
        <v>26</v>
      </c>
      <c r="F22" s="12" t="s">
        <v>50</v>
      </c>
      <c r="G22" s="12" t="s">
        <v>80</v>
      </c>
      <c r="H22" s="12" t="str">
        <f aca="false">IFERROR(INDEX('Daftar Konten'!$D:$D,MATCH(G22,'Daftar Konten'!$A:$A,0)),"")</f>
        <v>Apa itu UMK? Penjelasan singkat</v>
      </c>
      <c r="I22" s="12" t="s">
        <v>73</v>
      </c>
      <c r="J22" s="12" t="str">
        <f aca="false">IFERROR(INDEX('Daftar Konten'!$G:$G,MATCH(G22,'Daftar Konten'!$A:$A,0)),"")</f>
        <v>Apa itu UMK? Penjelasan singkat Setuju? Tulis di komentar.</v>
      </c>
      <c r="K22" s="12" t="s">
        <v>53</v>
      </c>
      <c r="L22" s="16" t="s">
        <v>54</v>
      </c>
    </row>
    <row r="23" customFormat="false" ht="15" hidden="false" customHeight="false" outlineLevel="0" collapsed="false">
      <c r="A23" s="12" t="n">
        <v>19</v>
      </c>
      <c r="B23" s="13" t="n">
        <f aca="false">Panduan!$B$4+7</f>
        <v>46321</v>
      </c>
      <c r="C23" s="12" t="str">
        <f aca="false">CHOOSE(WEEKDAY(B23,2),"Senin","Selasa","Rabu","Kamis","Jumat","Sabtu","Minggu")</f>
        <v>Senin</v>
      </c>
      <c r="D23" s="14" t="str">
        <f aca="false">Panduan!$B$6</f>
        <v>19:00</v>
      </c>
      <c r="E23" s="17" t="s">
        <v>27</v>
      </c>
      <c r="F23" s="12" t="s">
        <v>64</v>
      </c>
      <c r="G23" s="12" t="s">
        <v>81</v>
      </c>
      <c r="H23" s="12" t="str">
        <f aca="false">IFERROR(INDEX('Daftar Konten'!$D:$D,MATCH(G23,'Daftar Konten'!$A:$A,0)),"")</f>
        <v>Cara membuat anggaran bulanan</v>
      </c>
      <c r="I23" s="12" t="s">
        <v>66</v>
      </c>
      <c r="J23" s="12" t="str">
        <f aca="false">IFERROR(INDEX('Daftar Konten'!$G:$G,MATCH(G23,'Daftar Konten'!$A:$A,0)),"")</f>
        <v>Cara membuat anggaran bulanan dalam 4 langkah. Simpan.</v>
      </c>
      <c r="K23" s="12" t="s">
        <v>58</v>
      </c>
      <c r="L23" s="16" t="s">
        <v>54</v>
      </c>
    </row>
    <row r="24" customFormat="false" ht="15" hidden="false" customHeight="false" outlineLevel="0" collapsed="false">
      <c r="A24" s="12" t="n">
        <v>20</v>
      </c>
      <c r="B24" s="13" t="n">
        <f aca="false">Panduan!$B$4+7</f>
        <v>46321</v>
      </c>
      <c r="C24" s="12" t="str">
        <f aca="false">CHOOSE(WEEKDAY(B24,2),"Senin","Selasa","Rabu","Kamis","Jumat","Sabtu","Minggu")</f>
        <v>Senin</v>
      </c>
      <c r="D24" s="14" t="str">
        <f aca="false">Panduan!$B$7</f>
        <v>20:30</v>
      </c>
      <c r="E24" s="18" t="s">
        <v>59</v>
      </c>
      <c r="F24" s="12" t="s">
        <v>50</v>
      </c>
      <c r="G24" s="12" t="s">
        <v>80</v>
      </c>
      <c r="H24" s="12" t="str">
        <f aca="false">IFERROR(INDEX('Daftar Konten'!$D:$D,MATCH(G24,'Daftar Konten'!$A:$A,0)),"")</f>
        <v>Apa itu UMK? Penjelasan singkat</v>
      </c>
      <c r="I24" s="12" t="s">
        <v>73</v>
      </c>
      <c r="J24" s="12" t="str">
        <f aca="false">IFERROR(INDEX('Daftar Konten'!$G:$G,MATCH(G24,'Daftar Konten'!$A:$A,0)),"")</f>
        <v>Apa itu UMK? Penjelasan singkat Setuju? Tulis di komentar.</v>
      </c>
      <c r="K24" s="12" t="s">
        <v>60</v>
      </c>
      <c r="L24" s="16" t="s">
        <v>54</v>
      </c>
    </row>
    <row r="25" customFormat="false" ht="23.85" hidden="false" customHeight="false" outlineLevel="0" collapsed="false">
      <c r="A25" s="12" t="n">
        <v>21</v>
      </c>
      <c r="B25" s="13" t="n">
        <f aca="false">Panduan!$B$4+8</f>
        <v>46322</v>
      </c>
      <c r="C25" s="12" t="str">
        <f aca="false">CHOOSE(WEEKDAY(B25,2),"Senin","Selasa","Rabu","Kamis","Jumat","Sabtu","Minggu")</f>
        <v>Selasa</v>
      </c>
      <c r="D25" s="14" t="str">
        <f aca="false">Panduan!$B$5</f>
        <v>12:00</v>
      </c>
      <c r="E25" s="15" t="s">
        <v>26</v>
      </c>
      <c r="F25" s="12" t="s">
        <v>50</v>
      </c>
      <c r="G25" s="12" t="s">
        <v>82</v>
      </c>
      <c r="H25" s="12" t="str">
        <f aca="false">IFERROR(INDEX('Daftar Konten'!$D:$D,MATCH(G25,'Daftar Konten'!$A:$A,0)),"")</f>
        <v>Red flag soal gaji di tempat kerja</v>
      </c>
      <c r="I25" s="12" t="s">
        <v>73</v>
      </c>
      <c r="J25" s="12" t="str">
        <f aca="false">IFERROR(INDEX('Daftar Konten'!$G:$G,MATCH(G25,'Daftar Konten'!$A:$A,0)),"")</f>
        <v>Red flag dan green flag soal gaji di tempat kerja. Pernah menemukan yang mana?</v>
      </c>
      <c r="K25" s="12" t="s">
        <v>53</v>
      </c>
      <c r="L25" s="16" t="s">
        <v>54</v>
      </c>
    </row>
    <row r="26" customFormat="false" ht="23.85" hidden="false" customHeight="false" outlineLevel="0" collapsed="false">
      <c r="A26" s="12" t="n">
        <v>22</v>
      </c>
      <c r="B26" s="13" t="n">
        <f aca="false">Panduan!$B$4+8</f>
        <v>46322</v>
      </c>
      <c r="C26" s="12" t="str">
        <f aca="false">CHOOSE(WEEKDAY(B26,2),"Senin","Selasa","Rabu","Kamis","Jumat","Sabtu","Minggu")</f>
        <v>Selasa</v>
      </c>
      <c r="D26" s="14" t="str">
        <f aca="false">Panduan!$B$7</f>
        <v>20:30</v>
      </c>
      <c r="E26" s="18" t="s">
        <v>59</v>
      </c>
      <c r="F26" s="12" t="s">
        <v>50</v>
      </c>
      <c r="G26" s="12" t="s">
        <v>82</v>
      </c>
      <c r="H26" s="12" t="str">
        <f aca="false">IFERROR(INDEX('Daftar Konten'!$D:$D,MATCH(G26,'Daftar Konten'!$A:$A,0)),"")</f>
        <v>Red flag soal gaji di tempat kerja</v>
      </c>
      <c r="I26" s="12" t="s">
        <v>73</v>
      </c>
      <c r="J26" s="12" t="str">
        <f aca="false">IFERROR(INDEX('Daftar Konten'!$G:$G,MATCH(G26,'Daftar Konten'!$A:$A,0)),"")</f>
        <v>Red flag dan green flag soal gaji di tempat kerja. Pernah menemukan yang mana?</v>
      </c>
      <c r="K26" s="12" t="s">
        <v>60</v>
      </c>
      <c r="L26" s="16" t="s">
        <v>54</v>
      </c>
    </row>
    <row r="27" customFormat="false" ht="23.85" hidden="false" customHeight="false" outlineLevel="0" collapsed="false">
      <c r="A27" s="12" t="n">
        <v>23</v>
      </c>
      <c r="B27" s="13" t="n">
        <f aca="false">Panduan!$B$4+9</f>
        <v>46323</v>
      </c>
      <c r="C27" s="12" t="str">
        <f aca="false">CHOOSE(WEEKDAY(B27,2),"Senin","Selasa","Rabu","Kamis","Jumat","Sabtu","Minggu")</f>
        <v>Rabu</v>
      </c>
      <c r="D27" s="14" t="str">
        <f aca="false">Panduan!$B$5</f>
        <v>12:00</v>
      </c>
      <c r="E27" s="15" t="s">
        <v>26</v>
      </c>
      <c r="F27" s="12" t="s">
        <v>50</v>
      </c>
      <c r="G27" s="12" t="s">
        <v>83</v>
      </c>
      <c r="H27" s="12" t="str">
        <f aca="false">IFERROR(INDEX('Daftar Konten'!$D:$D,MATCH(G27,'Daftar Konten'!$A:$A,0)),"")</f>
        <v>Lembur itu ada batasnya.</v>
      </c>
      <c r="I27" s="12" t="s">
        <v>52</v>
      </c>
      <c r="J27" s="12" t="str">
        <f aca="false">IFERROR(INDEX('Daftar Konten'!$G:$G,MATCH(G27,'Daftar Konten'!$A:$A,0)),"")</f>
        <v>Lembur ada batas hariannya dan mingguannya. Pastikan jamnya tercatat. Informasi umum, cek aturan terbaru.</v>
      </c>
      <c r="K27" s="12" t="s">
        <v>53</v>
      </c>
      <c r="L27" s="16" t="s">
        <v>54</v>
      </c>
    </row>
    <row r="28" customFormat="false" ht="23.85" hidden="false" customHeight="false" outlineLevel="0" collapsed="false">
      <c r="A28" s="12" t="n">
        <v>24</v>
      </c>
      <c r="B28" s="13" t="n">
        <f aca="false">Panduan!$B$4+9</f>
        <v>46323</v>
      </c>
      <c r="C28" s="12" t="str">
        <f aca="false">CHOOSE(WEEKDAY(B28,2),"Senin","Selasa","Rabu","Kamis","Jumat","Sabtu","Minggu")</f>
        <v>Rabu</v>
      </c>
      <c r="D28" s="14" t="str">
        <f aca="false">Panduan!$B$6</f>
        <v>19:00</v>
      </c>
      <c r="E28" s="17" t="s">
        <v>27</v>
      </c>
      <c r="F28" s="12" t="s">
        <v>64</v>
      </c>
      <c r="G28" s="12" t="s">
        <v>84</v>
      </c>
      <c r="H28" s="12" t="str">
        <f aca="false">IFERROR(INDEX('Daftar Konten'!$D:$D,MATCH(G28,'Daftar Konten'!$A:$A,0)),"")</f>
        <v>Belajar skill baru dalam 30 hari</v>
      </c>
      <c r="I28" s="12" t="s">
        <v>66</v>
      </c>
      <c r="J28" s="12" t="str">
        <f aca="false">IFERROR(INDEX('Daftar Konten'!$G:$G,MATCH(G28,'Daftar Konten'!$A:$A,0)),"")</f>
        <v>Belajar skill baru dalam 30 hari: fokus satu hal dan konsisten. Skill apa yang mau kamu pelajari?</v>
      </c>
      <c r="K28" s="12" t="s">
        <v>58</v>
      </c>
      <c r="L28" s="16" t="s">
        <v>54</v>
      </c>
    </row>
    <row r="29" customFormat="false" ht="23.85" hidden="false" customHeight="false" outlineLevel="0" collapsed="false">
      <c r="A29" s="12" t="n">
        <v>25</v>
      </c>
      <c r="B29" s="13" t="n">
        <f aca="false">Panduan!$B$4+9</f>
        <v>46323</v>
      </c>
      <c r="C29" s="12" t="str">
        <f aca="false">CHOOSE(WEEKDAY(B29,2),"Senin","Selasa","Rabu","Kamis","Jumat","Sabtu","Minggu")</f>
        <v>Rabu</v>
      </c>
      <c r="D29" s="14" t="str">
        <f aca="false">Panduan!$B$7</f>
        <v>20:30</v>
      </c>
      <c r="E29" s="18" t="s">
        <v>59</v>
      </c>
      <c r="F29" s="12" t="s">
        <v>50</v>
      </c>
      <c r="G29" s="12" t="s">
        <v>83</v>
      </c>
      <c r="H29" s="12" t="str">
        <f aca="false">IFERROR(INDEX('Daftar Konten'!$D:$D,MATCH(G29,'Daftar Konten'!$A:$A,0)),"")</f>
        <v>Lembur itu ada batasnya.</v>
      </c>
      <c r="I29" s="12" t="s">
        <v>52</v>
      </c>
      <c r="J29" s="12" t="str">
        <f aca="false">IFERROR(INDEX('Daftar Konten'!$G:$G,MATCH(G29,'Daftar Konten'!$A:$A,0)),"")</f>
        <v>Lembur ada batas hariannya dan mingguannya. Pastikan jamnya tercatat. Informasi umum, cek aturan terbaru.</v>
      </c>
      <c r="K29" s="12" t="s">
        <v>60</v>
      </c>
      <c r="L29" s="16" t="s">
        <v>54</v>
      </c>
    </row>
    <row r="30" customFormat="false" ht="15" hidden="false" customHeight="false" outlineLevel="0" collapsed="false">
      <c r="A30" s="12" t="n">
        <v>26</v>
      </c>
      <c r="B30" s="13" t="n">
        <f aca="false">Panduan!$B$4+10</f>
        <v>46324</v>
      </c>
      <c r="C30" s="12" t="str">
        <f aca="false">CHOOSE(WEEKDAY(B30,2),"Senin","Selasa","Rabu","Kamis","Jumat","Sabtu","Minggu")</f>
        <v>Kamis</v>
      </c>
      <c r="D30" s="14" t="str">
        <f aca="false">Panduan!$B$5</f>
        <v>12:00</v>
      </c>
      <c r="E30" s="15" t="s">
        <v>26</v>
      </c>
      <c r="F30" s="12" t="s">
        <v>50</v>
      </c>
      <c r="G30" s="12" t="s">
        <v>85</v>
      </c>
      <c r="H30" s="12" t="str">
        <f aca="false">IFERROR(INDEX('Daftar Konten'!$D:$D,MATCH(G30,'Daftar Konten'!$A:$A,0)),"")</f>
        <v>Memberi feedback: pakai rumus SBI</v>
      </c>
      <c r="I30" s="12" t="s">
        <v>52</v>
      </c>
      <c r="J30" s="12" t="str">
        <f aca="false">IFERROR(INDEX('Daftar Konten'!$G:$G,MATCH(G30,'Daftar Konten'!$A:$A,0)),"")</f>
        <v>Memberi feedback: pakai rumus SBI Setuju? Tulis di komentar.</v>
      </c>
      <c r="K30" s="12" t="s">
        <v>53</v>
      </c>
      <c r="L30" s="16" t="s">
        <v>54</v>
      </c>
    </row>
    <row r="31" customFormat="false" ht="15" hidden="false" customHeight="false" outlineLevel="0" collapsed="false">
      <c r="A31" s="12" t="n">
        <v>27</v>
      </c>
      <c r="B31" s="13" t="n">
        <f aca="false">Panduan!$B$4+10</f>
        <v>46324</v>
      </c>
      <c r="C31" s="12" t="str">
        <f aca="false">CHOOSE(WEEKDAY(B31,2),"Senin","Selasa","Rabu","Kamis","Jumat","Sabtu","Minggu")</f>
        <v>Kamis</v>
      </c>
      <c r="D31" s="14" t="str">
        <f aca="false">Panduan!$B$7</f>
        <v>20:30</v>
      </c>
      <c r="E31" s="18" t="s">
        <v>59</v>
      </c>
      <c r="F31" s="12" t="s">
        <v>50</v>
      </c>
      <c r="G31" s="12" t="s">
        <v>85</v>
      </c>
      <c r="H31" s="12" t="str">
        <f aca="false">IFERROR(INDEX('Daftar Konten'!$D:$D,MATCH(G31,'Daftar Konten'!$A:$A,0)),"")</f>
        <v>Memberi feedback: pakai rumus SBI</v>
      </c>
      <c r="I31" s="12" t="s">
        <v>52</v>
      </c>
      <c r="J31" s="12" t="str">
        <f aca="false">IFERROR(INDEX('Daftar Konten'!$G:$G,MATCH(G31,'Daftar Konten'!$A:$A,0)),"")</f>
        <v>Memberi feedback: pakai rumus SBI Setuju? Tulis di komentar.</v>
      </c>
      <c r="K31" s="12" t="s">
        <v>60</v>
      </c>
      <c r="L31" s="16" t="s">
        <v>54</v>
      </c>
    </row>
    <row r="32" customFormat="false" ht="23.85" hidden="false" customHeight="false" outlineLevel="0" collapsed="false">
      <c r="A32" s="12" t="n">
        <v>28</v>
      </c>
      <c r="B32" s="13" t="n">
        <f aca="false">Panduan!$B$4+11</f>
        <v>46325</v>
      </c>
      <c r="C32" s="12" t="str">
        <f aca="false">CHOOSE(WEEKDAY(B32,2),"Senin","Selasa","Rabu","Kamis","Jumat","Sabtu","Minggu")</f>
        <v>Jumat</v>
      </c>
      <c r="D32" s="14" t="str">
        <f aca="false">Panduan!$B$5</f>
        <v>12:00</v>
      </c>
      <c r="E32" s="15" t="s">
        <v>26</v>
      </c>
      <c r="F32" s="12" t="s">
        <v>50</v>
      </c>
      <c r="G32" s="12" t="s">
        <v>86</v>
      </c>
      <c r="H32" s="12" t="str">
        <f aca="false">IFERROR(INDEX('Daftar Konten'!$D:$D,MATCH(G32,'Daftar Konten'!$A:$A,0)),"")</f>
        <v>Isi Portal Karyawan: 12 menu di satu HP</v>
      </c>
      <c r="I32" s="12" t="s">
        <v>63</v>
      </c>
      <c r="J32" s="12" t="str">
        <f aca="false">IFERROR(INDEX('Daftar Konten'!$G:$G,MATCH(G32,'Daftar Konten'!$A:$A,0)),"")</f>
        <v>Isi Portal Karyawan HrCash ada 12 menu. Menu mana yang paling kamu butuhkan?</v>
      </c>
      <c r="K32" s="12" t="s">
        <v>53</v>
      </c>
      <c r="L32" s="16" t="s">
        <v>54</v>
      </c>
    </row>
    <row r="33" customFormat="false" ht="23.85" hidden="false" customHeight="false" outlineLevel="0" collapsed="false">
      <c r="A33" s="12" t="n">
        <v>29</v>
      </c>
      <c r="B33" s="13" t="n">
        <f aca="false">Panduan!$B$4+11</f>
        <v>46325</v>
      </c>
      <c r="C33" s="12" t="str">
        <f aca="false">CHOOSE(WEEKDAY(B33,2),"Senin","Selasa","Rabu","Kamis","Jumat","Sabtu","Minggu")</f>
        <v>Jumat</v>
      </c>
      <c r="D33" s="14" t="str">
        <f aca="false">Panduan!$B$6</f>
        <v>19:00</v>
      </c>
      <c r="E33" s="17" t="s">
        <v>27</v>
      </c>
      <c r="F33" s="12" t="s">
        <v>64</v>
      </c>
      <c r="G33" s="12" t="s">
        <v>87</v>
      </c>
      <c r="H33" s="12" t="str">
        <f aca="false">IFERROR(INDEX('Daftar Konten'!$D:$D,MATCH(G33,'Daftar Konten'!$A:$A,0)),"")</f>
        <v>Akhir bulan, rekap absen sampai malam</v>
      </c>
      <c r="I33" s="12" t="s">
        <v>57</v>
      </c>
      <c r="J33" s="12" t="str">
        <f aca="false">IFERROR(INDEX('Daftar Konten'!$G:$G,MATCH(G33,'Daftar Konten'!$A:$A,0)),"")</f>
        <v>Jam berapa biasanya kamu selesai merekap absen akhir bulan? Jujur saja di komentar.</v>
      </c>
      <c r="K33" s="12" t="s">
        <v>58</v>
      </c>
      <c r="L33" s="16" t="s">
        <v>54</v>
      </c>
    </row>
    <row r="34" customFormat="false" ht="23.85" hidden="false" customHeight="false" outlineLevel="0" collapsed="false">
      <c r="A34" s="12" t="n">
        <v>30</v>
      </c>
      <c r="B34" s="13" t="n">
        <f aca="false">Panduan!$B$4+11</f>
        <v>46325</v>
      </c>
      <c r="C34" s="12" t="str">
        <f aca="false">CHOOSE(WEEKDAY(B34,2),"Senin","Selasa","Rabu","Kamis","Jumat","Sabtu","Minggu")</f>
        <v>Jumat</v>
      </c>
      <c r="D34" s="14" t="str">
        <f aca="false">Panduan!$B$7</f>
        <v>20:30</v>
      </c>
      <c r="E34" s="18" t="s">
        <v>59</v>
      </c>
      <c r="F34" s="12" t="s">
        <v>50</v>
      </c>
      <c r="G34" s="12" t="s">
        <v>86</v>
      </c>
      <c r="H34" s="12" t="str">
        <f aca="false">IFERROR(INDEX('Daftar Konten'!$D:$D,MATCH(G34,'Daftar Konten'!$A:$A,0)),"")</f>
        <v>Isi Portal Karyawan: 12 menu di satu HP</v>
      </c>
      <c r="I34" s="12" t="s">
        <v>63</v>
      </c>
      <c r="J34" s="12" t="str">
        <f aca="false">IFERROR(INDEX('Daftar Konten'!$G:$G,MATCH(G34,'Daftar Konten'!$A:$A,0)),"")</f>
        <v>Isi Portal Karyawan HrCash ada 12 menu. Menu mana yang paling kamu butuhkan?</v>
      </c>
      <c r="K34" s="12" t="s">
        <v>60</v>
      </c>
      <c r="L34" s="16" t="s">
        <v>54</v>
      </c>
    </row>
    <row r="35" customFormat="false" ht="15" hidden="false" customHeight="false" outlineLevel="0" collapsed="false">
      <c r="A35" s="12" t="n">
        <v>31</v>
      </c>
      <c r="B35" s="13" t="n">
        <f aca="false">Panduan!$B$4+12</f>
        <v>46326</v>
      </c>
      <c r="C35" s="12" t="str">
        <f aca="false">CHOOSE(WEEKDAY(B35,2),"Senin","Selasa","Rabu","Kamis","Jumat","Sabtu","Minggu")</f>
        <v>Sabtu</v>
      </c>
      <c r="D35" s="14" t="str">
        <f aca="false">Panduan!$B$7</f>
        <v>20:30</v>
      </c>
      <c r="E35" s="18" t="s">
        <v>59</v>
      </c>
      <c r="F35" s="12" t="s">
        <v>50</v>
      </c>
      <c r="G35" s="12" t="s">
        <v>88</v>
      </c>
      <c r="H35" s="12" t="str">
        <f aca="false">IFERROR(INDEX('Daftar Konten'!$D:$D,MATCH(G35,'Daftar Konten'!$A:$A,0)),"")</f>
        <v>'Saya lupa check out, Pak.' Sering dengar?</v>
      </c>
      <c r="I35" s="12" t="s">
        <v>76</v>
      </c>
      <c r="J35" s="12" t="str">
        <f aca="false">IFERROR(INDEX('Daftar Konten'!$G:$G,MATCH(G35,'Daftar Konten'!$A:$A,0)),"")</f>
        <v>'Saya lupa check out, Pak.' Sering dengar? Setuju? Tulis di komentar.</v>
      </c>
      <c r="K35" s="12" t="s">
        <v>77</v>
      </c>
      <c r="L35" s="16" t="s">
        <v>54</v>
      </c>
    </row>
    <row r="36" customFormat="false" ht="15" hidden="false" customHeight="false" outlineLevel="0" collapsed="false">
      <c r="A36" s="12" t="n">
        <v>32</v>
      </c>
      <c r="B36" s="13" t="n">
        <f aca="false">Panduan!$B$4+13</f>
        <v>46327</v>
      </c>
      <c r="C36" s="12" t="str">
        <f aca="false">CHOOSE(WEEKDAY(B36,2),"Senin","Selasa","Rabu","Kamis","Jumat","Sabtu","Minggu")</f>
        <v>Minggu</v>
      </c>
      <c r="D36" s="14" t="str">
        <f aca="false">Panduan!$B$6</f>
        <v>19:00</v>
      </c>
      <c r="E36" s="17" t="s">
        <v>27</v>
      </c>
      <c r="F36" s="12" t="s">
        <v>64</v>
      </c>
      <c r="G36" s="12" t="s">
        <v>89</v>
      </c>
      <c r="H36" s="12" t="str">
        <f aca="false">IFERROR(INDEX('Daftar Konten'!$D:$D,MATCH(G36,'Daftar Konten'!$A:$A,0)),"")</f>
        <v/>
      </c>
      <c r="I36" s="12" t="s">
        <v>66</v>
      </c>
      <c r="J36" s="12" t="str">
        <f aca="false">IFERROR(INDEX('Daftar Konten'!$G:$G,MATCH(G36,'Daftar Konten'!$A:$A,0)),"")</f>
        <v/>
      </c>
      <c r="K36" s="12" t="s">
        <v>58</v>
      </c>
      <c r="L36" s="16" t="s">
        <v>54</v>
      </c>
    </row>
    <row r="37" customFormat="false" ht="15" hidden="false" customHeight="false" outlineLevel="0" collapsed="false">
      <c r="A37" s="12" t="n">
        <v>33</v>
      </c>
      <c r="B37" s="13" t="n">
        <f aca="false">Panduan!$B$4+13</f>
        <v>46327</v>
      </c>
      <c r="C37" s="12" t="str">
        <f aca="false">CHOOSE(WEEKDAY(B37,2),"Senin","Selasa","Rabu","Kamis","Jumat","Sabtu","Minggu")</f>
        <v>Minggu</v>
      </c>
      <c r="D37" s="14" t="str">
        <f aca="false">Panduan!$B$7</f>
        <v>20:30</v>
      </c>
      <c r="E37" s="18" t="s">
        <v>59</v>
      </c>
      <c r="F37" s="12" t="s">
        <v>50</v>
      </c>
      <c r="G37" s="12" t="s">
        <v>90</v>
      </c>
      <c r="H37" s="12" t="str">
        <f aca="false">IFERROR(INDEX('Daftar Konten'!$D:$D,MATCH(G37,'Daftar Konten'!$A:$A,0)),"")</f>
        <v>Lembur 2 jam, dihitung berapa?</v>
      </c>
      <c r="I37" s="12" t="s">
        <v>76</v>
      </c>
      <c r="J37" s="12" t="str">
        <f aca="false">IFERROR(INDEX('Daftar Konten'!$G:$G,MATCH(G37,'Daftar Konten'!$A:$A,0)),"")</f>
        <v>Lembur 2 jam, dihitung berapa? Setuju? Tulis di komentar.</v>
      </c>
      <c r="K37" s="12" t="s">
        <v>77</v>
      </c>
      <c r="L37" s="16" t="s">
        <v>54</v>
      </c>
    </row>
    <row r="38" customFormat="false" ht="15" hidden="false" customHeight="false" outlineLevel="0" collapsed="false">
      <c r="A38" s="12" t="n">
        <v>34</v>
      </c>
      <c r="B38" s="13" t="n">
        <f aca="false">Panduan!$B$4+14</f>
        <v>46328</v>
      </c>
      <c r="C38" s="12" t="str">
        <f aca="false">CHOOSE(WEEKDAY(B38,2),"Senin","Selasa","Rabu","Kamis","Jumat","Sabtu","Minggu")</f>
        <v>Senin</v>
      </c>
      <c r="D38" s="14" t="str">
        <f aca="false">Panduan!$B$5</f>
        <v>12:00</v>
      </c>
      <c r="E38" s="15" t="s">
        <v>26</v>
      </c>
      <c r="F38" s="12" t="s">
        <v>50</v>
      </c>
      <c r="G38" s="12" t="s">
        <v>91</v>
      </c>
      <c r="H38" s="12" t="str">
        <f aca="false">IFERROR(INDEX('Daftar Konten'!$D:$D,MATCH(G38,'Daftar Konten'!$A:$A,0)),"")</f>
        <v>Tipe karyawan saat tanggal gajian</v>
      </c>
      <c r="I38" s="12" t="s">
        <v>63</v>
      </c>
      <c r="J38" s="12" t="str">
        <f aca="false">IFERROR(INDEX('Daftar Konten'!$G:$G,MATCH(G38,'Daftar Konten'!$A:$A,0)),"")</f>
        <v>Tipe karyawan saat tanggal gajian Setuju? Tulis di komentar.</v>
      </c>
      <c r="K38" s="12" t="s">
        <v>53</v>
      </c>
      <c r="L38" s="16" t="s">
        <v>54</v>
      </c>
    </row>
    <row r="39" customFormat="false" ht="23.85" hidden="false" customHeight="false" outlineLevel="0" collapsed="false">
      <c r="A39" s="12" t="n">
        <v>35</v>
      </c>
      <c r="B39" s="13" t="n">
        <f aca="false">Panduan!$B$4+14</f>
        <v>46328</v>
      </c>
      <c r="C39" s="12" t="str">
        <f aca="false">CHOOSE(WEEKDAY(B39,2),"Senin","Selasa","Rabu","Kamis","Jumat","Sabtu","Minggu")</f>
        <v>Senin</v>
      </c>
      <c r="D39" s="14" t="str">
        <f aca="false">Panduan!$B$6</f>
        <v>19:00</v>
      </c>
      <c r="E39" s="17" t="s">
        <v>27</v>
      </c>
      <c r="F39" s="12" t="s">
        <v>64</v>
      </c>
      <c r="G39" s="12" t="s">
        <v>92</v>
      </c>
      <c r="H39" s="12" t="str">
        <f aca="false">IFERROR(INDEX('Daftar Konten'!$D:$D,MATCH(G39,'Daftar Konten'!$A:$A,0)),"")</f>
        <v>Tagihan listrik naik? 4 kebiasaan yang bisa dicoba</v>
      </c>
      <c r="I39" s="12" t="s">
        <v>66</v>
      </c>
      <c r="J39" s="12" t="str">
        <f aca="false">IFERROR(INDEX('Daftar Konten'!$G:$G,MATCH(G39,'Daftar Konten'!$A:$A,0)),"")</f>
        <v>Tagihan listrik naik? Coba kebiasaan kecil ini selama sebulan lalu bandingkan tagihannya. Kebiasaan mana yang sudah kamu lakukan?</v>
      </c>
      <c r="K39" s="12" t="s">
        <v>58</v>
      </c>
      <c r="L39" s="16" t="s">
        <v>54</v>
      </c>
    </row>
    <row r="40" customFormat="false" ht="15" hidden="false" customHeight="false" outlineLevel="0" collapsed="false">
      <c r="A40" s="12" t="n">
        <v>36</v>
      </c>
      <c r="B40" s="13" t="n">
        <f aca="false">Panduan!$B$4+14</f>
        <v>46328</v>
      </c>
      <c r="C40" s="12" t="str">
        <f aca="false">CHOOSE(WEEKDAY(B40,2),"Senin","Selasa","Rabu","Kamis","Jumat","Sabtu","Minggu")</f>
        <v>Senin</v>
      </c>
      <c r="D40" s="14" t="str">
        <f aca="false">Panduan!$B$7</f>
        <v>20:30</v>
      </c>
      <c r="E40" s="18" t="s">
        <v>59</v>
      </c>
      <c r="F40" s="12" t="s">
        <v>50</v>
      </c>
      <c r="G40" s="12" t="s">
        <v>91</v>
      </c>
      <c r="H40" s="12" t="str">
        <f aca="false">IFERROR(INDEX('Daftar Konten'!$D:$D,MATCH(G40,'Daftar Konten'!$A:$A,0)),"")</f>
        <v>Tipe karyawan saat tanggal gajian</v>
      </c>
      <c r="I40" s="12" t="s">
        <v>63</v>
      </c>
      <c r="J40" s="12" t="str">
        <f aca="false">IFERROR(INDEX('Daftar Konten'!$G:$G,MATCH(G40,'Daftar Konten'!$A:$A,0)),"")</f>
        <v>Tipe karyawan saat tanggal gajian Setuju? Tulis di komentar.</v>
      </c>
      <c r="K40" s="12" t="s">
        <v>60</v>
      </c>
      <c r="L40" s="16" t="s">
        <v>54</v>
      </c>
    </row>
    <row r="41" customFormat="false" ht="15" hidden="false" customHeight="false" outlineLevel="0" collapsed="false">
      <c r="A41" s="12" t="n">
        <v>37</v>
      </c>
      <c r="B41" s="13" t="n">
        <f aca="false">Panduan!$B$4+15</f>
        <v>46329</v>
      </c>
      <c r="C41" s="12" t="str">
        <f aca="false">CHOOSE(WEEKDAY(B41,2),"Senin","Selasa","Rabu","Kamis","Jumat","Sabtu","Minggu")</f>
        <v>Selasa</v>
      </c>
      <c r="D41" s="14" t="str">
        <f aca="false">Panduan!$B$5</f>
        <v>12:00</v>
      </c>
      <c r="E41" s="15" t="s">
        <v>26</v>
      </c>
      <c r="F41" s="12" t="s">
        <v>50</v>
      </c>
      <c r="G41" s="12" t="s">
        <v>93</v>
      </c>
      <c r="H41" s="12" t="str">
        <f aca="false">IFERROR(INDEX('Daftar Konten'!$D:$D,MATCH(G41,'Daftar Konten'!$A:$A,0)),"")</f>
        <v>Punya kafe? Yang paling sering bikin pusing</v>
      </c>
      <c r="I41" s="12" t="s">
        <v>73</v>
      </c>
      <c r="J41" s="12" t="str">
        <f aca="false">IFERROR(INDEX('Daftar Konten'!$G:$G,MATCH(G41,'Daftar Konten'!$A:$A,0)),"")</f>
        <v>Punya kafe? Yang paling sering bikin pusing Setuju? Tulis di komentar.</v>
      </c>
      <c r="K41" s="12" t="s">
        <v>53</v>
      </c>
      <c r="L41" s="16" t="s">
        <v>54</v>
      </c>
    </row>
    <row r="42" customFormat="false" ht="15" hidden="false" customHeight="false" outlineLevel="0" collapsed="false">
      <c r="A42" s="12" t="n">
        <v>38</v>
      </c>
      <c r="B42" s="13" t="n">
        <f aca="false">Panduan!$B$4+15</f>
        <v>46329</v>
      </c>
      <c r="C42" s="12" t="str">
        <f aca="false">CHOOSE(WEEKDAY(B42,2),"Senin","Selasa","Rabu","Kamis","Jumat","Sabtu","Minggu")</f>
        <v>Selasa</v>
      </c>
      <c r="D42" s="14" t="str">
        <f aca="false">Panduan!$B$7</f>
        <v>20:30</v>
      </c>
      <c r="E42" s="18" t="s">
        <v>59</v>
      </c>
      <c r="F42" s="12" t="s">
        <v>50</v>
      </c>
      <c r="G42" s="12" t="s">
        <v>93</v>
      </c>
      <c r="H42" s="12" t="str">
        <f aca="false">IFERROR(INDEX('Daftar Konten'!$D:$D,MATCH(G42,'Daftar Konten'!$A:$A,0)),"")</f>
        <v>Punya kafe? Yang paling sering bikin pusing</v>
      </c>
      <c r="I42" s="12" t="s">
        <v>73</v>
      </c>
      <c r="J42" s="12" t="str">
        <f aca="false">IFERROR(INDEX('Daftar Konten'!$G:$G,MATCH(G42,'Daftar Konten'!$A:$A,0)),"")</f>
        <v>Punya kafe? Yang paling sering bikin pusing Setuju? Tulis di komentar.</v>
      </c>
      <c r="K42" s="12" t="s">
        <v>60</v>
      </c>
      <c r="L42" s="16" t="s">
        <v>54</v>
      </c>
    </row>
    <row r="43" customFormat="false" ht="15" hidden="false" customHeight="false" outlineLevel="0" collapsed="false">
      <c r="A43" s="12" t="n">
        <v>39</v>
      </c>
      <c r="B43" s="13" t="n">
        <f aca="false">Panduan!$B$4+16</f>
        <v>46330</v>
      </c>
      <c r="C43" s="12" t="str">
        <f aca="false">CHOOSE(WEEKDAY(B43,2),"Senin","Selasa","Rabu","Kamis","Jumat","Sabtu","Minggu")</f>
        <v>Rabu</v>
      </c>
      <c r="D43" s="14" t="str">
        <f aca="false">Panduan!$B$5</f>
        <v>12:00</v>
      </c>
      <c r="E43" s="15" t="s">
        <v>26</v>
      </c>
      <c r="F43" s="12" t="s">
        <v>50</v>
      </c>
      <c r="G43" s="12" t="s">
        <v>94</v>
      </c>
      <c r="H43" s="12" t="str">
        <f aca="false">IFERROR(INDEX('Daftar Konten'!$D:$D,MATCH(G43,'Daftar Konten'!$A:$A,0)),"")</f>
        <v>PKWT vs PKWTT: apa bedanya?</v>
      </c>
      <c r="I43" s="12" t="s">
        <v>73</v>
      </c>
      <c r="J43" s="12" t="str">
        <f aca="false">IFERROR(INDEX('Daftar Konten'!$G:$G,MATCH(G43,'Daftar Konten'!$A:$A,0)),"")</f>
        <v>PKWT vs PKWTT: apa bedanya? Setuju? Tulis di komentar.</v>
      </c>
      <c r="K43" s="12" t="s">
        <v>53</v>
      </c>
      <c r="L43" s="16" t="s">
        <v>54</v>
      </c>
    </row>
    <row r="44" customFormat="false" ht="23.85" hidden="false" customHeight="false" outlineLevel="0" collapsed="false">
      <c r="A44" s="12" t="n">
        <v>40</v>
      </c>
      <c r="B44" s="13" t="n">
        <f aca="false">Panduan!$B$4+16</f>
        <v>46330</v>
      </c>
      <c r="C44" s="12" t="str">
        <f aca="false">CHOOSE(WEEKDAY(B44,2),"Senin","Selasa","Rabu","Kamis","Jumat","Sabtu","Minggu")</f>
        <v>Rabu</v>
      </c>
      <c r="D44" s="14" t="str">
        <f aca="false">Panduan!$B$6</f>
        <v>19:00</v>
      </c>
      <c r="E44" s="17" t="s">
        <v>27</v>
      </c>
      <c r="F44" s="12" t="s">
        <v>64</v>
      </c>
      <c r="G44" s="12" t="s">
        <v>95</v>
      </c>
      <c r="H44" s="12" t="str">
        <f aca="false">IFERROR(INDEX('Daftar Konten'!$D:$D,MATCH(G44,'Daftar Konten'!$A:$A,0)),"")</f>
        <v>Kebiasaan hemat: dari yang paling berdampak</v>
      </c>
      <c r="I44" s="12" t="s">
        <v>66</v>
      </c>
      <c r="J44" s="12" t="str">
        <f aca="false">IFERROR(INDEX('Daftar Konten'!$G:$G,MATCH(G44,'Daftar Konten'!$A:$A,0)),"")</f>
        <v>Kebiasaan hemat mana yang paling berdampak menurutmu? Tulis di komentar.</v>
      </c>
      <c r="K44" s="12" t="s">
        <v>58</v>
      </c>
      <c r="L44" s="16" t="s">
        <v>54</v>
      </c>
    </row>
    <row r="45" customFormat="false" ht="15" hidden="false" customHeight="false" outlineLevel="0" collapsed="false">
      <c r="A45" s="12" t="n">
        <v>41</v>
      </c>
      <c r="B45" s="13" t="n">
        <f aca="false">Panduan!$B$4+16</f>
        <v>46330</v>
      </c>
      <c r="C45" s="12" t="str">
        <f aca="false">CHOOSE(WEEKDAY(B45,2),"Senin","Selasa","Rabu","Kamis","Jumat","Sabtu","Minggu")</f>
        <v>Rabu</v>
      </c>
      <c r="D45" s="14" t="str">
        <f aca="false">Panduan!$B$7</f>
        <v>20:30</v>
      </c>
      <c r="E45" s="18" t="s">
        <v>59</v>
      </c>
      <c r="F45" s="12" t="s">
        <v>50</v>
      </c>
      <c r="G45" s="12" t="s">
        <v>94</v>
      </c>
      <c r="H45" s="12" t="str">
        <f aca="false">IFERROR(INDEX('Daftar Konten'!$D:$D,MATCH(G45,'Daftar Konten'!$A:$A,0)),"")</f>
        <v>PKWT vs PKWTT: apa bedanya?</v>
      </c>
      <c r="I45" s="12" t="s">
        <v>73</v>
      </c>
      <c r="J45" s="12" t="str">
        <f aca="false">IFERROR(INDEX('Daftar Konten'!$G:$G,MATCH(G45,'Daftar Konten'!$A:$A,0)),"")</f>
        <v>PKWT vs PKWTT: apa bedanya? Setuju? Tulis di komentar.</v>
      </c>
      <c r="K45" s="12" t="s">
        <v>60</v>
      </c>
      <c r="L45" s="16" t="s">
        <v>54</v>
      </c>
    </row>
    <row r="46" customFormat="false" ht="23.85" hidden="false" customHeight="false" outlineLevel="0" collapsed="false">
      <c r="A46" s="12" t="n">
        <v>42</v>
      </c>
      <c r="B46" s="13" t="n">
        <f aca="false">Panduan!$B$4+17</f>
        <v>46331</v>
      </c>
      <c r="C46" s="12" t="str">
        <f aca="false">CHOOSE(WEEKDAY(B46,2),"Senin","Selasa","Rabu","Kamis","Jumat","Sabtu","Minggu")</f>
        <v>Kamis</v>
      </c>
      <c r="D46" s="14" t="str">
        <f aca="false">Panduan!$B$5</f>
        <v>12:00</v>
      </c>
      <c r="E46" s="15" t="s">
        <v>26</v>
      </c>
      <c r="F46" s="12" t="s">
        <v>50</v>
      </c>
      <c r="G46" s="12" t="s">
        <v>96</v>
      </c>
      <c r="H46" s="12" t="str">
        <f aca="false">IFERROR(INDEX('Daftar Konten'!$D:$D,MATCH(G46,'Daftar Konten'!$A:$A,0)),"")</f>
        <v>Quiz HR: angka 173 itu apa?</v>
      </c>
      <c r="I46" s="12" t="s">
        <v>73</v>
      </c>
      <c r="J46" s="12" t="str">
        <f aca="false">IFERROR(INDEX('Daftar Konten'!$G:$G,MATCH(G46,'Daftar Konten'!$A:$A,0)),"")</f>
        <v>Quiz HR: angka 173 itu apa? Jawab di komentar sebelum menonton sampai habis. Informasi umum.</v>
      </c>
      <c r="K46" s="12" t="s">
        <v>53</v>
      </c>
      <c r="L46" s="16" t="s">
        <v>54</v>
      </c>
    </row>
    <row r="47" customFormat="false" ht="23.85" hidden="false" customHeight="false" outlineLevel="0" collapsed="false">
      <c r="A47" s="12" t="n">
        <v>43</v>
      </c>
      <c r="B47" s="13" t="n">
        <f aca="false">Panduan!$B$4+17</f>
        <v>46331</v>
      </c>
      <c r="C47" s="12" t="str">
        <f aca="false">CHOOSE(WEEKDAY(B47,2),"Senin","Selasa","Rabu","Kamis","Jumat","Sabtu","Minggu")</f>
        <v>Kamis</v>
      </c>
      <c r="D47" s="14" t="str">
        <f aca="false">Panduan!$B$7</f>
        <v>20:30</v>
      </c>
      <c r="E47" s="18" t="s">
        <v>59</v>
      </c>
      <c r="F47" s="12" t="s">
        <v>50</v>
      </c>
      <c r="G47" s="12" t="s">
        <v>96</v>
      </c>
      <c r="H47" s="12" t="str">
        <f aca="false">IFERROR(INDEX('Daftar Konten'!$D:$D,MATCH(G47,'Daftar Konten'!$A:$A,0)),"")</f>
        <v>Quiz HR: angka 173 itu apa?</v>
      </c>
      <c r="I47" s="12" t="s">
        <v>73</v>
      </c>
      <c r="J47" s="12" t="str">
        <f aca="false">IFERROR(INDEX('Daftar Konten'!$G:$G,MATCH(G47,'Daftar Konten'!$A:$A,0)),"")</f>
        <v>Quiz HR: angka 173 itu apa? Jawab di komentar sebelum menonton sampai habis. Informasi umum.</v>
      </c>
      <c r="K47" s="12" t="s">
        <v>60</v>
      </c>
      <c r="L47" s="16" t="s">
        <v>54</v>
      </c>
    </row>
    <row r="48" customFormat="false" ht="23.85" hidden="false" customHeight="false" outlineLevel="0" collapsed="false">
      <c r="A48" s="12" t="n">
        <v>44</v>
      </c>
      <c r="B48" s="13" t="n">
        <f aca="false">Panduan!$B$4+18</f>
        <v>46332</v>
      </c>
      <c r="C48" s="12" t="str">
        <f aca="false">CHOOSE(WEEKDAY(B48,2),"Senin","Selasa","Rabu","Kamis","Jumat","Sabtu","Minggu")</f>
        <v>Jumat</v>
      </c>
      <c r="D48" s="14" t="str">
        <f aca="false">Panduan!$B$5</f>
        <v>12:00</v>
      </c>
      <c r="E48" s="15" t="s">
        <v>26</v>
      </c>
      <c r="F48" s="12" t="s">
        <v>50</v>
      </c>
      <c r="G48" s="12" t="s">
        <v>97</v>
      </c>
      <c r="H48" s="12" t="str">
        <f aca="false">IFERROR(INDEX('Daftar Konten'!$D:$D,MATCH(G48,'Daftar Konten'!$A:$A,0)),"")</f>
        <v>Cuti tahunan: berapa hari, kapan didapat?</v>
      </c>
      <c r="I48" s="12" t="s">
        <v>52</v>
      </c>
      <c r="J48" s="12" t="str">
        <f aca="false">IFERROR(INDEX('Daftar Konten'!$G:$G,MATCH(G48,'Daftar Konten'!$A:$A,0)),"")</f>
        <v>Cuti tahunan 12 hari setelah 12 bulan kerja terus-menerus. Catat saldo tiap karyawan. Informasi umum.</v>
      </c>
      <c r="K48" s="12" t="s">
        <v>53</v>
      </c>
      <c r="L48" s="16" t="s">
        <v>54</v>
      </c>
    </row>
    <row r="49" customFormat="false" ht="23.85" hidden="false" customHeight="false" outlineLevel="0" collapsed="false">
      <c r="A49" s="12" t="n">
        <v>45</v>
      </c>
      <c r="B49" s="13" t="n">
        <f aca="false">Panduan!$B$4+18</f>
        <v>46332</v>
      </c>
      <c r="C49" s="12" t="str">
        <f aca="false">CHOOSE(WEEKDAY(B49,2),"Senin","Selasa","Rabu","Kamis","Jumat","Sabtu","Minggu")</f>
        <v>Jumat</v>
      </c>
      <c r="D49" s="14" t="str">
        <f aca="false">Panduan!$B$6</f>
        <v>19:00</v>
      </c>
      <c r="E49" s="17" t="s">
        <v>27</v>
      </c>
      <c r="F49" s="12" t="s">
        <v>64</v>
      </c>
      <c r="G49" s="12" t="s">
        <v>98</v>
      </c>
      <c r="H49" s="12" t="str">
        <f aca="false">IFERROR(INDEX('Daftar Konten'!$D:$D,MATCH(G49,'Daftar Konten'!$A:$A,0)),"")</f>
        <v>CV yang lolos seleksi sistem</v>
      </c>
      <c r="I49" s="12" t="s">
        <v>66</v>
      </c>
      <c r="J49" s="12" t="str">
        <f aca="false">IFERROR(INDEX('Daftar Konten'!$G:$G,MATCH(G49,'Daftar Konten'!$A:$A,0)),"")</f>
        <v>Banyak perusahaan menyaring CV dengan sistem. Rapikan format CV-mu dengan tips ini.</v>
      </c>
      <c r="K49" s="12" t="s">
        <v>58</v>
      </c>
      <c r="L49" s="16" t="s">
        <v>54</v>
      </c>
    </row>
    <row r="50" customFormat="false" ht="23.85" hidden="false" customHeight="false" outlineLevel="0" collapsed="false">
      <c r="A50" s="12" t="n">
        <v>46</v>
      </c>
      <c r="B50" s="13" t="n">
        <f aca="false">Panduan!$B$4+18</f>
        <v>46332</v>
      </c>
      <c r="C50" s="12" t="str">
        <f aca="false">CHOOSE(WEEKDAY(B50,2),"Senin","Selasa","Rabu","Kamis","Jumat","Sabtu","Minggu")</f>
        <v>Jumat</v>
      </c>
      <c r="D50" s="14" t="str">
        <f aca="false">Panduan!$B$7</f>
        <v>20:30</v>
      </c>
      <c r="E50" s="18" t="s">
        <v>59</v>
      </c>
      <c r="F50" s="12" t="s">
        <v>50</v>
      </c>
      <c r="G50" s="12" t="s">
        <v>97</v>
      </c>
      <c r="H50" s="12" t="str">
        <f aca="false">IFERROR(INDEX('Daftar Konten'!$D:$D,MATCH(G50,'Daftar Konten'!$A:$A,0)),"")</f>
        <v>Cuti tahunan: berapa hari, kapan didapat?</v>
      </c>
      <c r="I50" s="12" t="s">
        <v>52</v>
      </c>
      <c r="J50" s="12" t="str">
        <f aca="false">IFERROR(INDEX('Daftar Konten'!$G:$G,MATCH(G50,'Daftar Konten'!$A:$A,0)),"")</f>
        <v>Cuti tahunan 12 hari setelah 12 bulan kerja terus-menerus. Catat saldo tiap karyawan. Informasi umum.</v>
      </c>
      <c r="K50" s="12" t="s">
        <v>60</v>
      </c>
      <c r="L50" s="16" t="s">
        <v>54</v>
      </c>
    </row>
    <row r="51" customFormat="false" ht="23.85" hidden="false" customHeight="false" outlineLevel="0" collapsed="false">
      <c r="A51" s="12" t="n">
        <v>47</v>
      </c>
      <c r="B51" s="13" t="n">
        <f aca="false">Panduan!$B$4+19</f>
        <v>46333</v>
      </c>
      <c r="C51" s="12" t="str">
        <f aca="false">CHOOSE(WEEKDAY(B51,2),"Senin","Selasa","Rabu","Kamis","Jumat","Sabtu","Minggu")</f>
        <v>Sabtu</v>
      </c>
      <c r="D51" s="14" t="str">
        <f aca="false">Panduan!$B$7</f>
        <v>20:30</v>
      </c>
      <c r="E51" s="18" t="s">
        <v>59</v>
      </c>
      <c r="F51" s="12" t="s">
        <v>50</v>
      </c>
      <c r="G51" s="12" t="s">
        <v>99</v>
      </c>
      <c r="H51" s="12" t="str">
        <f aca="false">IFERROR(INDEX('Daftar Konten'!$D:$D,MATCH(G51,'Daftar Konten'!$A:$A,0)),"")</f>
        <v>Absen pakai selfie, bukan sekadar tanda tangan.</v>
      </c>
      <c r="I51" s="12" t="s">
        <v>76</v>
      </c>
      <c r="J51" s="12" t="str">
        <f aca="false">IFERROR(INDEX('Daftar Konten'!$G:$G,MATCH(G51,'Daftar Konten'!$A:$A,0)),"")</f>
        <v>Absen pakai selfie, bukan sekadar tanda tangan. Setuju? Tulis di komentar.</v>
      </c>
      <c r="K51" s="12" t="s">
        <v>77</v>
      </c>
      <c r="L51" s="16" t="s">
        <v>54</v>
      </c>
    </row>
    <row r="52" customFormat="false" ht="23.85" hidden="false" customHeight="false" outlineLevel="0" collapsed="false">
      <c r="A52" s="12" t="n">
        <v>48</v>
      </c>
      <c r="B52" s="13" t="n">
        <f aca="false">Panduan!$B$4+20</f>
        <v>46334</v>
      </c>
      <c r="C52" s="12" t="str">
        <f aca="false">CHOOSE(WEEKDAY(B52,2),"Senin","Selasa","Rabu","Kamis","Jumat","Sabtu","Minggu")</f>
        <v>Minggu</v>
      </c>
      <c r="D52" s="14" t="str">
        <f aca="false">Panduan!$B$6</f>
        <v>19:00</v>
      </c>
      <c r="E52" s="17" t="s">
        <v>27</v>
      </c>
      <c r="F52" s="12" t="s">
        <v>64</v>
      </c>
      <c r="G52" s="12" t="s">
        <v>100</v>
      </c>
      <c r="H52" s="12" t="str">
        <f aca="false">IFERROR(INDEX('Daftar Konten'!$D:$D,MATCH(G52,'Daftar Konten'!$A:$A,0)),"")</f>
        <v>Melunasi utang: dua metode populer</v>
      </c>
      <c r="I52" s="12" t="s">
        <v>66</v>
      </c>
      <c r="J52" s="12" t="str">
        <f aca="false">IFERROR(INDEX('Daftar Konten'!$G:$G,MATCH(G52,'Daftar Konten'!$A:$A,0)),"")</f>
        <v>Urutan melunasi utang yang sering dipakai. Informasi umum, bukan saran keuangan.</v>
      </c>
      <c r="K52" s="12" t="s">
        <v>58</v>
      </c>
      <c r="L52" s="16" t="s">
        <v>54</v>
      </c>
    </row>
    <row r="53" customFormat="false" ht="15" hidden="false" customHeight="false" outlineLevel="0" collapsed="false">
      <c r="A53" s="12" t="n">
        <v>49</v>
      </c>
      <c r="B53" s="13" t="n">
        <f aca="false">Panduan!$B$4+20</f>
        <v>46334</v>
      </c>
      <c r="C53" s="12" t="str">
        <f aca="false">CHOOSE(WEEKDAY(B53,2),"Senin","Selasa","Rabu","Kamis","Jumat","Sabtu","Minggu")</f>
        <v>Minggu</v>
      </c>
      <c r="D53" s="14" t="str">
        <f aca="false">Panduan!$B$7</f>
        <v>20:30</v>
      </c>
      <c r="E53" s="18" t="s">
        <v>59</v>
      </c>
      <c r="F53" s="12" t="s">
        <v>50</v>
      </c>
      <c r="G53" s="12" t="s">
        <v>101</v>
      </c>
      <c r="H53" s="12" t="str">
        <f aca="false">IFERROR(INDEX('Daftar Konten'!$D:$D,MATCH(G53,'Daftar Konten'!$A:$A,0)),"")</f>
        <v>Owner begadang rekap absen. Cukup.</v>
      </c>
      <c r="I53" s="12" t="s">
        <v>76</v>
      </c>
      <c r="J53" s="12" t="str">
        <f aca="false">IFERROR(INDEX('Daftar Konten'!$G:$G,MATCH(G53,'Daftar Konten'!$A:$A,0)),"")</f>
        <v>Owner begadang rekap absen. Cukup. Setuju? Tulis di komentar.</v>
      </c>
      <c r="K53" s="12" t="s">
        <v>77</v>
      </c>
      <c r="L53" s="16" t="s">
        <v>54</v>
      </c>
    </row>
    <row r="54" customFormat="false" ht="15" hidden="false" customHeight="false" outlineLevel="0" collapsed="false">
      <c r="A54" s="12" t="n">
        <v>50</v>
      </c>
      <c r="B54" s="13" t="n">
        <f aca="false">Panduan!$B$4+21</f>
        <v>46335</v>
      </c>
      <c r="C54" s="12" t="str">
        <f aca="false">CHOOSE(WEEKDAY(B54,2),"Senin","Selasa","Rabu","Kamis","Jumat","Sabtu","Minggu")</f>
        <v>Senin</v>
      </c>
      <c r="D54" s="14" t="str">
        <f aca="false">Panduan!$B$5</f>
        <v>12:00</v>
      </c>
      <c r="E54" s="15" t="s">
        <v>26</v>
      </c>
      <c r="F54" s="12" t="s">
        <v>50</v>
      </c>
      <c r="G54" s="12" t="s">
        <v>102</v>
      </c>
      <c r="H54" s="12" t="str">
        <f aca="false">IFERROR(INDEX('Daftar Konten'!$D:$D,MATCH(G54,'Daftar Konten'!$A:$A,0)),"")</f>
        <v>1-on-1 sebulan sekali: bahas apa saja?</v>
      </c>
      <c r="I54" s="12" t="s">
        <v>52</v>
      </c>
      <c r="J54" s="12" t="str">
        <f aca="false">IFERROR(INDEX('Daftar Konten'!$G:$G,MATCH(G54,'Daftar Konten'!$A:$A,0)),"")</f>
        <v>1-on-1 sebulan sekali: bahas apa saja? Setuju? Tulis di komentar.</v>
      </c>
      <c r="K54" s="12" t="s">
        <v>53</v>
      </c>
      <c r="L54" s="16" t="s">
        <v>54</v>
      </c>
    </row>
    <row r="55" customFormat="false" ht="15" hidden="false" customHeight="false" outlineLevel="0" collapsed="false">
      <c r="A55" s="12" t="n">
        <v>51</v>
      </c>
      <c r="B55" s="13" t="n">
        <f aca="false">Panduan!$B$4+21</f>
        <v>46335</v>
      </c>
      <c r="C55" s="12" t="str">
        <f aca="false">CHOOSE(WEEKDAY(B55,2),"Senin","Selasa","Rabu","Kamis","Jumat","Sabtu","Minggu")</f>
        <v>Senin</v>
      </c>
      <c r="D55" s="14" t="str">
        <f aca="false">Panduan!$B$6</f>
        <v>19:00</v>
      </c>
      <c r="E55" s="17" t="s">
        <v>27</v>
      </c>
      <c r="F55" s="12" t="s">
        <v>64</v>
      </c>
      <c r="G55" s="12" t="s">
        <v>103</v>
      </c>
      <c r="H55" s="12" t="str">
        <f aca="false">IFERROR(INDEX('Daftar Konten'!$D:$D,MATCH(G55,'Daftar Konten'!$A:$A,0)),"")</f>
        <v>Gaji beda hitungan, karyawan protes</v>
      </c>
      <c r="I55" s="12" t="s">
        <v>57</v>
      </c>
      <c r="J55" s="12" t="str">
        <f aca="false">IFERROR(INDEX('Daftar Konten'!$G:$G,MATCH(G55,'Daftar Konten'!$A:$A,0)),"")</f>
        <v>Selisih gaji sekecil apa pun bisa jadi debat. Pernah kejadian di tempatmu?</v>
      </c>
      <c r="K55" s="12" t="s">
        <v>58</v>
      </c>
      <c r="L55" s="16" t="s">
        <v>54</v>
      </c>
    </row>
    <row r="56" customFormat="false" ht="15" hidden="false" customHeight="false" outlineLevel="0" collapsed="false">
      <c r="A56" s="12" t="n">
        <v>52</v>
      </c>
      <c r="B56" s="13" t="n">
        <f aca="false">Panduan!$B$4+21</f>
        <v>46335</v>
      </c>
      <c r="C56" s="12" t="str">
        <f aca="false">CHOOSE(WEEKDAY(B56,2),"Senin","Selasa","Rabu","Kamis","Jumat","Sabtu","Minggu")</f>
        <v>Senin</v>
      </c>
      <c r="D56" s="14" t="str">
        <f aca="false">Panduan!$B$7</f>
        <v>20:30</v>
      </c>
      <c r="E56" s="18" t="s">
        <v>59</v>
      </c>
      <c r="F56" s="12" t="s">
        <v>50</v>
      </c>
      <c r="G56" s="12" t="s">
        <v>102</v>
      </c>
      <c r="H56" s="12" t="str">
        <f aca="false">IFERROR(INDEX('Daftar Konten'!$D:$D,MATCH(G56,'Daftar Konten'!$A:$A,0)),"")</f>
        <v>1-on-1 sebulan sekali: bahas apa saja?</v>
      </c>
      <c r="I56" s="12" t="s">
        <v>52</v>
      </c>
      <c r="J56" s="12" t="str">
        <f aca="false">IFERROR(INDEX('Daftar Konten'!$G:$G,MATCH(G56,'Daftar Konten'!$A:$A,0)),"")</f>
        <v>1-on-1 sebulan sekali: bahas apa saja? Setuju? Tulis di komentar.</v>
      </c>
      <c r="K56" s="12" t="s">
        <v>60</v>
      </c>
      <c r="L56" s="16" t="s">
        <v>54</v>
      </c>
    </row>
    <row r="57" customFormat="false" ht="23.85" hidden="false" customHeight="false" outlineLevel="0" collapsed="false">
      <c r="A57" s="12" t="n">
        <v>53</v>
      </c>
      <c r="B57" s="13" t="n">
        <f aca="false">Panduan!$B$4+22</f>
        <v>46336</v>
      </c>
      <c r="C57" s="12" t="str">
        <f aca="false">CHOOSE(WEEKDAY(B57,2),"Senin","Selasa","Rabu","Kamis","Jumat","Sabtu","Minggu")</f>
        <v>Selasa</v>
      </c>
      <c r="D57" s="14" t="str">
        <f aca="false">Panduan!$B$5</f>
        <v>12:00</v>
      </c>
      <c r="E57" s="15" t="s">
        <v>26</v>
      </c>
      <c r="F57" s="12" t="s">
        <v>50</v>
      </c>
      <c r="G57" s="12" t="s">
        <v>104</v>
      </c>
      <c r="H57" s="12" t="str">
        <f aca="false">IFERROR(INDEX('Daftar Konten'!$D:$D,MATCH(G57,'Daftar Konten'!$A:$A,0)),"")</f>
        <v>Absen selfie + lokasi: begini cara kerjanya</v>
      </c>
      <c r="I57" s="12" t="s">
        <v>63</v>
      </c>
      <c r="J57" s="12" t="str">
        <f aca="false">IFERROR(INDEX('Daftar Konten'!$G:$G,MATCH(G57,'Daftar Konten'!$A:$A,0)),"")</f>
        <v>Begini cara kerja absen selfie dan lokasi. Ada pertanyaan? Tanya di komentar.</v>
      </c>
      <c r="K57" s="12" t="s">
        <v>53</v>
      </c>
      <c r="L57" s="16" t="s">
        <v>54</v>
      </c>
    </row>
    <row r="58" customFormat="false" ht="23.85" hidden="false" customHeight="false" outlineLevel="0" collapsed="false">
      <c r="A58" s="12" t="n">
        <v>54</v>
      </c>
      <c r="B58" s="13" t="n">
        <f aca="false">Panduan!$B$4+22</f>
        <v>46336</v>
      </c>
      <c r="C58" s="12" t="str">
        <f aca="false">CHOOSE(WEEKDAY(B58,2),"Senin","Selasa","Rabu","Kamis","Jumat","Sabtu","Minggu")</f>
        <v>Selasa</v>
      </c>
      <c r="D58" s="14" t="str">
        <f aca="false">Panduan!$B$7</f>
        <v>20:30</v>
      </c>
      <c r="E58" s="18" t="s">
        <v>59</v>
      </c>
      <c r="F58" s="12" t="s">
        <v>50</v>
      </c>
      <c r="G58" s="12" t="s">
        <v>104</v>
      </c>
      <c r="H58" s="12" t="str">
        <f aca="false">IFERROR(INDEX('Daftar Konten'!$D:$D,MATCH(G58,'Daftar Konten'!$A:$A,0)),"")</f>
        <v>Absen selfie + lokasi: begini cara kerjanya</v>
      </c>
      <c r="I58" s="12" t="s">
        <v>63</v>
      </c>
      <c r="J58" s="12" t="str">
        <f aca="false">IFERROR(INDEX('Daftar Konten'!$G:$G,MATCH(G58,'Daftar Konten'!$A:$A,0)),"")</f>
        <v>Begini cara kerja absen selfie dan lokasi. Ada pertanyaan? Tanya di komentar.</v>
      </c>
      <c r="K58" s="12" t="s">
        <v>60</v>
      </c>
      <c r="L58" s="16" t="s">
        <v>54</v>
      </c>
    </row>
    <row r="59" customFormat="false" ht="15" hidden="false" customHeight="false" outlineLevel="0" collapsed="false">
      <c r="A59" s="12" t="n">
        <v>55</v>
      </c>
      <c r="B59" s="13" t="n">
        <f aca="false">Panduan!$B$4+23</f>
        <v>46337</v>
      </c>
      <c r="C59" s="12" t="str">
        <f aca="false">CHOOSE(WEEKDAY(B59,2),"Senin","Selasa","Rabu","Kamis","Jumat","Sabtu","Minggu")</f>
        <v>Rabu</v>
      </c>
      <c r="D59" s="14" t="str">
        <f aca="false">Panduan!$B$5</f>
        <v>12:00</v>
      </c>
      <c r="E59" s="15" t="s">
        <v>26</v>
      </c>
      <c r="F59" s="12" t="s">
        <v>50</v>
      </c>
      <c r="G59" s="12" t="s">
        <v>105</v>
      </c>
      <c r="H59" s="12" t="str">
        <f aca="false">IFERROR(INDEX('Daftar Konten'!$D:$D,MATCH(G59,'Daftar Konten'!$A:$A,0)),"")</f>
        <v>Tipe owner saat tanggal 25</v>
      </c>
      <c r="I59" s="12" t="s">
        <v>63</v>
      </c>
      <c r="J59" s="12" t="str">
        <f aca="false">IFERROR(INDEX('Daftar Konten'!$G:$G,MATCH(G59,'Daftar Konten'!$A:$A,0)),"")</f>
        <v>Tipe owner saat tanggal 25 Setuju? Tulis di komentar.</v>
      </c>
      <c r="K59" s="12" t="s">
        <v>53</v>
      </c>
      <c r="L59" s="16" t="s">
        <v>54</v>
      </c>
    </row>
    <row r="60" customFormat="false" ht="23.85" hidden="false" customHeight="false" outlineLevel="0" collapsed="false">
      <c r="A60" s="12" t="n">
        <v>56</v>
      </c>
      <c r="B60" s="13" t="n">
        <f aca="false">Panduan!$B$4+23</f>
        <v>46337</v>
      </c>
      <c r="C60" s="12" t="str">
        <f aca="false">CHOOSE(WEEKDAY(B60,2),"Senin","Selasa","Rabu","Kamis","Jumat","Sabtu","Minggu")</f>
        <v>Rabu</v>
      </c>
      <c r="D60" s="14" t="str">
        <f aca="false">Panduan!$B$6</f>
        <v>19:00</v>
      </c>
      <c r="E60" s="17" t="s">
        <v>27</v>
      </c>
      <c r="F60" s="12" t="s">
        <v>64</v>
      </c>
      <c r="G60" s="12" t="s">
        <v>106</v>
      </c>
      <c r="H60" s="12" t="str">
        <f aca="false">IFERROR(INDEX('Daftar Konten'!$D:$D,MATCH(G60,'Daftar Konten'!$A:$A,0)),"")</f>
        <v>Caption jualan yang bikin orang beli</v>
      </c>
      <c r="I60" s="12" t="s">
        <v>66</v>
      </c>
      <c r="J60" s="12" t="str">
        <f aca="false">IFERROR(INDEX('Daftar Konten'!$G:$G,MATCH(G60,'Daftar Konten'!$A:$A,0)),"")</f>
        <v>Caption jualan sederhana dengan rumus AIDA. Contoh di slide terakhir bisa kamu ubah sesuai produkmu.</v>
      </c>
      <c r="K60" s="12" t="s">
        <v>58</v>
      </c>
      <c r="L60" s="16" t="s">
        <v>54</v>
      </c>
    </row>
    <row r="61" customFormat="false" ht="15" hidden="false" customHeight="false" outlineLevel="0" collapsed="false">
      <c r="A61" s="12" t="n">
        <v>57</v>
      </c>
      <c r="B61" s="13" t="n">
        <f aca="false">Panduan!$B$4+23</f>
        <v>46337</v>
      </c>
      <c r="C61" s="12" t="str">
        <f aca="false">CHOOSE(WEEKDAY(B61,2),"Senin","Selasa","Rabu","Kamis","Jumat","Sabtu","Minggu")</f>
        <v>Rabu</v>
      </c>
      <c r="D61" s="14" t="str">
        <f aca="false">Panduan!$B$7</f>
        <v>20:30</v>
      </c>
      <c r="E61" s="18" t="s">
        <v>59</v>
      </c>
      <c r="F61" s="12" t="s">
        <v>50</v>
      </c>
      <c r="G61" s="12" t="s">
        <v>105</v>
      </c>
      <c r="H61" s="12" t="str">
        <f aca="false">IFERROR(INDEX('Daftar Konten'!$D:$D,MATCH(G61,'Daftar Konten'!$A:$A,0)),"")</f>
        <v>Tipe owner saat tanggal 25</v>
      </c>
      <c r="I61" s="12" t="s">
        <v>63</v>
      </c>
      <c r="J61" s="12" t="str">
        <f aca="false">IFERROR(INDEX('Daftar Konten'!$G:$G,MATCH(G61,'Daftar Konten'!$A:$A,0)),"")</f>
        <v>Tipe owner saat tanggal 25 Setuju? Tulis di komentar.</v>
      </c>
      <c r="K61" s="12" t="s">
        <v>60</v>
      </c>
      <c r="L61" s="16" t="s">
        <v>54</v>
      </c>
    </row>
    <row r="62" customFormat="false" ht="15" hidden="false" customHeight="false" outlineLevel="0" collapsed="false">
      <c r="A62" s="12" t="n">
        <v>58</v>
      </c>
      <c r="B62" s="13" t="n">
        <f aca="false">Panduan!$B$4+24</f>
        <v>46338</v>
      </c>
      <c r="C62" s="12" t="str">
        <f aca="false">CHOOSE(WEEKDAY(B62,2),"Senin","Selasa","Rabu","Kamis","Jumat","Sabtu","Minggu")</f>
        <v>Kamis</v>
      </c>
      <c r="D62" s="14" t="str">
        <f aca="false">Panduan!$B$5</f>
        <v>12:00</v>
      </c>
      <c r="E62" s="15" t="s">
        <v>26</v>
      </c>
      <c r="F62" s="12" t="s">
        <v>50</v>
      </c>
      <c r="G62" s="12" t="s">
        <v>107</v>
      </c>
      <c r="H62" s="12" t="str">
        <f aca="false">IFERROR(INDEX('Daftar Konten'!$D:$D,MATCH(G62,'Daftar Konten'!$A:$A,0)),"")</f>
        <v>Punya salon? Atur kapster tanpa ribet</v>
      </c>
      <c r="I62" s="12" t="s">
        <v>73</v>
      </c>
      <c r="J62" s="12" t="str">
        <f aca="false">IFERROR(INDEX('Daftar Konten'!$G:$G,MATCH(G62,'Daftar Konten'!$A:$A,0)),"")</f>
        <v>Punya salon? Atur kapster tanpa ribet Setuju? Tulis di komentar.</v>
      </c>
      <c r="K62" s="12" t="s">
        <v>53</v>
      </c>
      <c r="L62" s="16" t="s">
        <v>54</v>
      </c>
    </row>
    <row r="63" customFormat="false" ht="15" hidden="false" customHeight="false" outlineLevel="0" collapsed="false">
      <c r="A63" s="12" t="n">
        <v>59</v>
      </c>
      <c r="B63" s="13" t="n">
        <f aca="false">Panduan!$B$4+24</f>
        <v>46338</v>
      </c>
      <c r="C63" s="12" t="str">
        <f aca="false">CHOOSE(WEEKDAY(B63,2),"Senin","Selasa","Rabu","Kamis","Jumat","Sabtu","Minggu")</f>
        <v>Kamis</v>
      </c>
      <c r="D63" s="14" t="str">
        <f aca="false">Panduan!$B$7</f>
        <v>20:30</v>
      </c>
      <c r="E63" s="18" t="s">
        <v>59</v>
      </c>
      <c r="F63" s="12" t="s">
        <v>50</v>
      </c>
      <c r="G63" s="12" t="s">
        <v>107</v>
      </c>
      <c r="H63" s="12" t="str">
        <f aca="false">IFERROR(INDEX('Daftar Konten'!$D:$D,MATCH(G63,'Daftar Konten'!$A:$A,0)),"")</f>
        <v>Punya salon? Atur kapster tanpa ribet</v>
      </c>
      <c r="I63" s="12" t="s">
        <v>73</v>
      </c>
      <c r="J63" s="12" t="str">
        <f aca="false">IFERROR(INDEX('Daftar Konten'!$G:$G,MATCH(G63,'Daftar Konten'!$A:$A,0)),"")</f>
        <v>Punya salon? Atur kapster tanpa ribet Setuju? Tulis di komentar.</v>
      </c>
      <c r="K63" s="12" t="s">
        <v>60</v>
      </c>
      <c r="L63" s="16" t="s">
        <v>54</v>
      </c>
    </row>
    <row r="64" customFormat="false" ht="15" hidden="false" customHeight="false" outlineLevel="0" collapsed="false">
      <c r="A64" s="12" t="n">
        <v>60</v>
      </c>
      <c r="B64" s="13" t="n">
        <f aca="false">Panduan!$B$4+25</f>
        <v>46339</v>
      </c>
      <c r="C64" s="12" t="str">
        <f aca="false">CHOOSE(WEEKDAY(B64,2),"Senin","Selasa","Rabu","Kamis","Jumat","Sabtu","Minggu")</f>
        <v>Jumat</v>
      </c>
      <c r="D64" s="14" t="str">
        <f aca="false">Panduan!$B$5</f>
        <v>12:00</v>
      </c>
      <c r="E64" s="15" t="s">
        <v>26</v>
      </c>
      <c r="F64" s="12" t="s">
        <v>50</v>
      </c>
      <c r="G64" s="12" t="s">
        <v>108</v>
      </c>
      <c r="H64" s="12" t="str">
        <f aca="false">IFERROR(INDEX('Daftar Konten'!$D:$D,MATCH(G64,'Daftar Konten'!$A:$A,0)),"")</f>
        <v>BPJS Ketenagakerjaan: garis besarnya</v>
      </c>
      <c r="I64" s="12" t="s">
        <v>73</v>
      </c>
      <c r="J64" s="12" t="str">
        <f aca="false">IFERROR(INDEX('Daftar Konten'!$G:$G,MATCH(G64,'Daftar Konten'!$A:$A,0)),"")</f>
        <v>BPJS Ketenagakerjaan: garis besarnya Setuju? Tulis di komentar.</v>
      </c>
      <c r="K64" s="12" t="s">
        <v>53</v>
      </c>
      <c r="L64" s="16" t="s">
        <v>54</v>
      </c>
    </row>
    <row r="65" customFormat="false" ht="15" hidden="false" customHeight="false" outlineLevel="0" collapsed="false">
      <c r="A65" s="12" t="n">
        <v>61</v>
      </c>
      <c r="B65" s="13" t="n">
        <f aca="false">Panduan!$B$4+25</f>
        <v>46339</v>
      </c>
      <c r="C65" s="12" t="str">
        <f aca="false">CHOOSE(WEEKDAY(B65,2),"Senin","Selasa","Rabu","Kamis","Jumat","Sabtu","Minggu")</f>
        <v>Jumat</v>
      </c>
      <c r="D65" s="14" t="str">
        <f aca="false">Panduan!$B$6</f>
        <v>19:00</v>
      </c>
      <c r="E65" s="17" t="s">
        <v>27</v>
      </c>
      <c r="F65" s="12" t="s">
        <v>64</v>
      </c>
      <c r="G65" s="12" t="s">
        <v>109</v>
      </c>
      <c r="H65" s="12" t="str">
        <f aca="false">IFERROR(INDEX('Daftar Konten'!$D:$D,MATCH(G65,'Daftar Konten'!$A:$A,0)),"")</f>
        <v/>
      </c>
      <c r="I65" s="12" t="s">
        <v>66</v>
      </c>
      <c r="J65" s="12" t="str">
        <f aca="false">IFERROR(INDEX('Daftar Konten'!$G:$G,MATCH(G65,'Daftar Konten'!$A:$A,0)),"")</f>
        <v/>
      </c>
      <c r="K65" s="12" t="s">
        <v>58</v>
      </c>
      <c r="L65" s="16" t="s">
        <v>54</v>
      </c>
    </row>
    <row r="66" customFormat="false" ht="15" hidden="false" customHeight="false" outlineLevel="0" collapsed="false">
      <c r="A66" s="12" t="n">
        <v>62</v>
      </c>
      <c r="B66" s="13" t="n">
        <f aca="false">Panduan!$B$4+25</f>
        <v>46339</v>
      </c>
      <c r="C66" s="12" t="str">
        <f aca="false">CHOOSE(WEEKDAY(B66,2),"Senin","Selasa","Rabu","Kamis","Jumat","Sabtu","Minggu")</f>
        <v>Jumat</v>
      </c>
      <c r="D66" s="14" t="str">
        <f aca="false">Panduan!$B$7</f>
        <v>20:30</v>
      </c>
      <c r="E66" s="18" t="s">
        <v>59</v>
      </c>
      <c r="F66" s="12" t="s">
        <v>50</v>
      </c>
      <c r="G66" s="12" t="s">
        <v>108</v>
      </c>
      <c r="H66" s="12" t="str">
        <f aca="false">IFERROR(INDEX('Daftar Konten'!$D:$D,MATCH(G66,'Daftar Konten'!$A:$A,0)),"")</f>
        <v>BPJS Ketenagakerjaan: garis besarnya</v>
      </c>
      <c r="I66" s="12" t="s">
        <v>73</v>
      </c>
      <c r="J66" s="12" t="str">
        <f aca="false">IFERROR(INDEX('Daftar Konten'!$G:$G,MATCH(G66,'Daftar Konten'!$A:$A,0)),"")</f>
        <v>BPJS Ketenagakerjaan: garis besarnya Setuju? Tulis di komentar.</v>
      </c>
      <c r="K66" s="12" t="s">
        <v>60</v>
      </c>
      <c r="L66" s="16" t="s">
        <v>54</v>
      </c>
    </row>
    <row r="67" customFormat="false" ht="23.85" hidden="false" customHeight="false" outlineLevel="0" collapsed="false">
      <c r="A67" s="12" t="n">
        <v>63</v>
      </c>
      <c r="B67" s="13" t="n">
        <f aca="false">Panduan!$B$4+26</f>
        <v>46340</v>
      </c>
      <c r="C67" s="12" t="str">
        <f aca="false">CHOOSE(WEEKDAY(B67,2),"Senin","Selasa","Rabu","Kamis","Jumat","Sabtu","Minggu")</f>
        <v>Sabtu</v>
      </c>
      <c r="D67" s="14" t="str">
        <f aca="false">Panduan!$B$7</f>
        <v>20:30</v>
      </c>
      <c r="E67" s="18" t="s">
        <v>59</v>
      </c>
      <c r="F67" s="12" t="s">
        <v>50</v>
      </c>
      <c r="G67" s="12" t="s">
        <v>110</v>
      </c>
      <c r="H67" s="12" t="str">
        <f aca="false">IFERROR(INDEX('Daftar Konten'!$D:$D,MATCH(G67,'Daftar Konten'!$A:$A,0)),"")</f>
        <v>Kenapa usaha sulit berkembang? Admin menumpuk.</v>
      </c>
      <c r="I67" s="12" t="s">
        <v>76</v>
      </c>
      <c r="J67" s="12" t="str">
        <f aca="false">IFERROR(INDEX('Daftar Konten'!$G:$G,MATCH(G67,'Daftar Konten'!$A:$A,0)),"")</f>
        <v>Kenapa usaha sulit berkembang? Admin menumpuk. Setuju? Tulis di komentar.</v>
      </c>
      <c r="K67" s="12" t="s">
        <v>77</v>
      </c>
      <c r="L67" s="16" t="s">
        <v>54</v>
      </c>
    </row>
    <row r="68" customFormat="false" ht="23.85" hidden="false" customHeight="false" outlineLevel="0" collapsed="false">
      <c r="A68" s="12" t="n">
        <v>64</v>
      </c>
      <c r="B68" s="13" t="n">
        <f aca="false">Panduan!$B$4+27</f>
        <v>46341</v>
      </c>
      <c r="C68" s="12" t="str">
        <f aca="false">CHOOSE(WEEKDAY(B68,2),"Senin","Selasa","Rabu","Kamis","Jumat","Sabtu","Minggu")</f>
        <v>Minggu</v>
      </c>
      <c r="D68" s="14" t="str">
        <f aca="false">Panduan!$B$6</f>
        <v>19:00</v>
      </c>
      <c r="E68" s="17" t="s">
        <v>27</v>
      </c>
      <c r="F68" s="12" t="s">
        <v>64</v>
      </c>
      <c r="G68" s="12" t="s">
        <v>111</v>
      </c>
      <c r="H68" s="12" t="str">
        <f aca="false">IFERROR(INDEX('Daftar Konten'!$D:$D,MATCH(G68,'Daftar Konten'!$A:$A,0)),"")</f>
        <v>Red flag vs green flag di tempat kerja</v>
      </c>
      <c r="I68" s="12" t="s">
        <v>66</v>
      </c>
      <c r="J68" s="12" t="str">
        <f aca="false">IFERROR(INDEX('Daftar Konten'!$G:$G,MATCH(G68,'Daftar Konten'!$A:$A,0)),"")</f>
        <v>Red flag dan green flag di tempat kerja. Kamu pernah mengalami yang mana? Tag temanmu yang perlu lihat ini.</v>
      </c>
      <c r="K68" s="12" t="s">
        <v>58</v>
      </c>
      <c r="L68" s="16" t="s">
        <v>54</v>
      </c>
    </row>
    <row r="69" customFormat="false" ht="15" hidden="false" customHeight="false" outlineLevel="0" collapsed="false">
      <c r="A69" s="12" t="n">
        <v>65</v>
      </c>
      <c r="B69" s="13" t="n">
        <f aca="false">Panduan!$B$4+27</f>
        <v>46341</v>
      </c>
      <c r="C69" s="12" t="str">
        <f aca="false">CHOOSE(WEEKDAY(B69,2),"Senin","Selasa","Rabu","Kamis","Jumat","Sabtu","Minggu")</f>
        <v>Minggu</v>
      </c>
      <c r="D69" s="14" t="str">
        <f aca="false">Panduan!$B$7</f>
        <v>20:30</v>
      </c>
      <c r="E69" s="18" t="s">
        <v>59</v>
      </c>
      <c r="F69" s="12" t="s">
        <v>50</v>
      </c>
      <c r="G69" s="12" t="s">
        <v>112</v>
      </c>
      <c r="H69" s="12" t="str">
        <f aca="false">IFERROR(INDEX('Daftar Konten'!$D:$D,MATCH(G69,'Daftar Konten'!$A:$A,0)),"")</f>
        <v>Owner: 'Perlu install?' Jawabannya: 'Tidak.'</v>
      </c>
      <c r="I69" s="12" t="s">
        <v>76</v>
      </c>
      <c r="J69" s="12" t="str">
        <f aca="false">IFERROR(INDEX('Daftar Konten'!$G:$G,MATCH(G69,'Daftar Konten'!$A:$A,0)),"")</f>
        <v>Owner: 'Perlu install?' Jawabannya: 'Tidak.' Setuju? Tulis di komentar.</v>
      </c>
      <c r="K69" s="12" t="s">
        <v>77</v>
      </c>
      <c r="L69" s="16" t="s">
        <v>54</v>
      </c>
    </row>
    <row r="70" customFormat="false" ht="23.85" hidden="false" customHeight="false" outlineLevel="0" collapsed="false">
      <c r="A70" s="12" t="n">
        <v>66</v>
      </c>
      <c r="B70" s="13" t="n">
        <f aca="false">Panduan!$B$4+28</f>
        <v>46342</v>
      </c>
      <c r="C70" s="12" t="str">
        <f aca="false">CHOOSE(WEEKDAY(B70,2),"Senin","Selasa","Rabu","Kamis","Jumat","Sabtu","Minggu")</f>
        <v>Senin</v>
      </c>
      <c r="D70" s="14" t="str">
        <f aca="false">Panduan!$B$5</f>
        <v>12:00</v>
      </c>
      <c r="E70" s="15" t="s">
        <v>26</v>
      </c>
      <c r="F70" s="12" t="s">
        <v>50</v>
      </c>
      <c r="G70" s="12" t="s">
        <v>113</v>
      </c>
      <c r="H70" s="12" t="str">
        <f aca="false">IFERROR(INDEX('Daftar Konten'!$D:$D,MATCH(G70,'Daftar Konten'!$A:$A,0)),"")</f>
        <v>Checklist awal tahun untuk owner UMKM</v>
      </c>
      <c r="I70" s="12" t="s">
        <v>73</v>
      </c>
      <c r="J70" s="12" t="str">
        <f aca="false">IFERROR(INDEX('Daftar Konten'!$G:$G,MATCH(G70,'Daftar Konten'!$A:$A,0)),"")</f>
        <v>Checklist awal tahun untuk owner UMKM. Simpan dan centang satu per satu.</v>
      </c>
      <c r="K70" s="12" t="s">
        <v>53</v>
      </c>
      <c r="L70" s="16" t="s">
        <v>54</v>
      </c>
    </row>
    <row r="71" customFormat="false" ht="15" hidden="false" customHeight="false" outlineLevel="0" collapsed="false">
      <c r="A71" s="12" t="n">
        <v>67</v>
      </c>
      <c r="B71" s="13" t="n">
        <f aca="false">Panduan!$B$4+28</f>
        <v>46342</v>
      </c>
      <c r="C71" s="12" t="str">
        <f aca="false">CHOOSE(WEEKDAY(B71,2),"Senin","Selasa","Rabu","Kamis","Jumat","Sabtu","Minggu")</f>
        <v>Senin</v>
      </c>
      <c r="D71" s="14" t="str">
        <f aca="false">Panduan!$B$6</f>
        <v>19:00</v>
      </c>
      <c r="E71" s="17" t="s">
        <v>27</v>
      </c>
      <c r="F71" s="12" t="s">
        <v>64</v>
      </c>
      <c r="G71" s="12" t="s">
        <v>114</v>
      </c>
      <c r="H71" s="12" t="str">
        <f aca="false">IFERROR(INDEX('Daftar Konten'!$D:$D,MATCH(G71,'Daftar Konten'!$A:$A,0)),"")</f>
        <v>Gajianmu habis ke mana?</v>
      </c>
      <c r="I71" s="12" t="s">
        <v>66</v>
      </c>
      <c r="J71" s="12" t="str">
        <f aca="false">IFERROR(INDEX('Daftar Konten'!$G:$G,MATCH(G71,'Daftar Konten'!$A:$A,0)),"")</f>
        <v>Gaji habis ke mana? Komen A, B, atau C.</v>
      </c>
      <c r="K71" s="12" t="s">
        <v>58</v>
      </c>
      <c r="L71" s="16" t="s">
        <v>54</v>
      </c>
    </row>
    <row r="72" customFormat="false" ht="23.85" hidden="false" customHeight="false" outlineLevel="0" collapsed="false">
      <c r="A72" s="12" t="n">
        <v>68</v>
      </c>
      <c r="B72" s="13" t="n">
        <f aca="false">Panduan!$B$4+28</f>
        <v>46342</v>
      </c>
      <c r="C72" s="12" t="str">
        <f aca="false">CHOOSE(WEEKDAY(B72,2),"Senin","Selasa","Rabu","Kamis","Jumat","Sabtu","Minggu")</f>
        <v>Senin</v>
      </c>
      <c r="D72" s="14" t="str">
        <f aca="false">Panduan!$B$7</f>
        <v>20:30</v>
      </c>
      <c r="E72" s="18" t="s">
        <v>59</v>
      </c>
      <c r="F72" s="12" t="s">
        <v>50</v>
      </c>
      <c r="G72" s="12" t="s">
        <v>113</v>
      </c>
      <c r="H72" s="12" t="str">
        <f aca="false">IFERROR(INDEX('Daftar Konten'!$D:$D,MATCH(G72,'Daftar Konten'!$A:$A,0)),"")</f>
        <v>Checklist awal tahun untuk owner UMKM</v>
      </c>
      <c r="I72" s="12" t="s">
        <v>73</v>
      </c>
      <c r="J72" s="12" t="str">
        <f aca="false">IFERROR(INDEX('Daftar Konten'!$G:$G,MATCH(G72,'Daftar Konten'!$A:$A,0)),"")</f>
        <v>Checklist awal tahun untuk owner UMKM. Simpan dan centang satu per satu.</v>
      </c>
      <c r="K72" s="12" t="s">
        <v>60</v>
      </c>
      <c r="L72" s="16" t="s">
        <v>54</v>
      </c>
    </row>
    <row r="73" customFormat="false" ht="23.85" hidden="false" customHeight="false" outlineLevel="0" collapsed="false">
      <c r="A73" s="12" t="n">
        <v>69</v>
      </c>
      <c r="B73" s="13" t="n">
        <f aca="false">Panduan!$B$4+29</f>
        <v>46343</v>
      </c>
      <c r="C73" s="12" t="str">
        <f aca="false">CHOOSE(WEEKDAY(B73,2),"Senin","Selasa","Rabu","Kamis","Jumat","Sabtu","Minggu")</f>
        <v>Selasa</v>
      </c>
      <c r="D73" s="14" t="str">
        <f aca="false">Panduan!$B$5</f>
        <v>12:00</v>
      </c>
      <c r="E73" s="15" t="s">
        <v>26</v>
      </c>
      <c r="F73" s="12" t="s">
        <v>50</v>
      </c>
      <c r="G73" s="12" t="s">
        <v>115</v>
      </c>
      <c r="H73" s="12" t="str">
        <f aca="false">IFERROR(INDEX('Daftar Konten'!$D:$D,MATCH(G73,'Daftar Konten'!$A:$A,0)),"")</f>
        <v>THR: siapa yang berhak, berapa besarnya?</v>
      </c>
      <c r="I73" s="12" t="s">
        <v>52</v>
      </c>
      <c r="J73" s="12" t="str">
        <f aca="false">IFERROR(INDEX('Daftar Konten'!$G:$G,MATCH(G73,'Daftar Konten'!$A:$A,0)),"")</f>
        <v>Dasar hitung THR untuk karyawan dengan masa kerja berbeda. Siapkan dananya sejak awal tahun. Informasi umum, cek aturan terbaru.</v>
      </c>
      <c r="K73" s="12" t="s">
        <v>53</v>
      </c>
      <c r="L73" s="16" t="s">
        <v>54</v>
      </c>
    </row>
    <row r="74" customFormat="false" ht="23.85" hidden="false" customHeight="false" outlineLevel="0" collapsed="false">
      <c r="A74" s="12" t="n">
        <v>70</v>
      </c>
      <c r="B74" s="13" t="n">
        <f aca="false">Panduan!$B$4+29</f>
        <v>46343</v>
      </c>
      <c r="C74" s="12" t="str">
        <f aca="false">CHOOSE(WEEKDAY(B74,2),"Senin","Selasa","Rabu","Kamis","Jumat","Sabtu","Minggu")</f>
        <v>Selasa</v>
      </c>
      <c r="D74" s="14" t="str">
        <f aca="false">Panduan!$B$7</f>
        <v>20:30</v>
      </c>
      <c r="E74" s="18" t="s">
        <v>59</v>
      </c>
      <c r="F74" s="12" t="s">
        <v>50</v>
      </c>
      <c r="G74" s="12" t="s">
        <v>115</v>
      </c>
      <c r="H74" s="12" t="str">
        <f aca="false">IFERROR(INDEX('Daftar Konten'!$D:$D,MATCH(G74,'Daftar Konten'!$A:$A,0)),"")</f>
        <v>THR: siapa yang berhak, berapa besarnya?</v>
      </c>
      <c r="I74" s="12" t="s">
        <v>52</v>
      </c>
      <c r="J74" s="12" t="str">
        <f aca="false">IFERROR(INDEX('Daftar Konten'!$G:$G,MATCH(G74,'Daftar Konten'!$A:$A,0)),"")</f>
        <v>Dasar hitung THR untuk karyawan dengan masa kerja berbeda. Siapkan dananya sejak awal tahun. Informasi umum, cek aturan terbaru.</v>
      </c>
      <c r="K74" s="12" t="s">
        <v>60</v>
      </c>
      <c r="L74" s="16" t="s">
        <v>54</v>
      </c>
    </row>
    <row r="75" customFormat="false" ht="15" hidden="false" customHeight="false" outlineLevel="0" collapsed="false">
      <c r="A75" s="12" t="n">
        <v>71</v>
      </c>
      <c r="B75" s="13" t="n">
        <f aca="false">Panduan!$B$4+30</f>
        <v>46344</v>
      </c>
      <c r="C75" s="12" t="str">
        <f aca="false">CHOOSE(WEEKDAY(B75,2),"Senin","Selasa","Rabu","Kamis","Jumat","Sabtu","Minggu")</f>
        <v>Rabu</v>
      </c>
      <c r="D75" s="14" t="str">
        <f aca="false">Panduan!$B$5</f>
        <v>12:00</v>
      </c>
      <c r="E75" s="15" t="s">
        <v>26</v>
      </c>
      <c r="F75" s="12" t="s">
        <v>50</v>
      </c>
      <c r="G75" s="12" t="s">
        <v>116</v>
      </c>
      <c r="H75" s="12" t="str">
        <f aca="false">IFERROR(INDEX('Daftar Konten'!$D:$D,MATCH(G75,'Daftar Konten'!$A:$A,0)),"")</f>
        <v>Apresiasi tanpa bonus besar: 4 cara murah</v>
      </c>
      <c r="I75" s="12" t="s">
        <v>52</v>
      </c>
      <c r="J75" s="12" t="str">
        <f aca="false">IFERROR(INDEX('Daftar Konten'!$G:$G,MATCH(G75,'Daftar Konten'!$A:$A,0)),"")</f>
        <v>Apresiasi tanpa bonus besar: 4 cara murah Setuju? Tulis di komentar.</v>
      </c>
      <c r="K75" s="12" t="s">
        <v>53</v>
      </c>
      <c r="L75" s="16" t="s">
        <v>54</v>
      </c>
    </row>
    <row r="76" customFormat="false" ht="23.85" hidden="false" customHeight="false" outlineLevel="0" collapsed="false">
      <c r="A76" s="12" t="n">
        <v>72</v>
      </c>
      <c r="B76" s="13" t="n">
        <f aca="false">Panduan!$B$4+30</f>
        <v>46344</v>
      </c>
      <c r="C76" s="12" t="str">
        <f aca="false">CHOOSE(WEEKDAY(B76,2),"Senin","Selasa","Rabu","Kamis","Jumat","Sabtu","Minggu")</f>
        <v>Rabu</v>
      </c>
      <c r="D76" s="14" t="str">
        <f aca="false">Panduan!$B$6</f>
        <v>19:00</v>
      </c>
      <c r="E76" s="17" t="s">
        <v>27</v>
      </c>
      <c r="F76" s="12" t="s">
        <v>64</v>
      </c>
      <c r="G76" s="12" t="s">
        <v>117</v>
      </c>
      <c r="H76" s="12" t="str">
        <f aca="false">IFERROR(INDEX('Daftar Konten'!$D:$D,MATCH(G76,'Daftar Konten'!$A:$A,0)),"")</f>
        <v>Cara menolak lembur tanpa drama</v>
      </c>
      <c r="I76" s="12" t="s">
        <v>66</v>
      </c>
      <c r="J76" s="12" t="str">
        <f aca="false">IFERROR(INDEX('Daftar Konten'!$G:$G,MATCH(G76,'Daftar Konten'!$A:$A,0)),"")</f>
        <v>Menolak lembur tanpa drama itu bisa. Simpan skrip ini untuk dipakai saat dibutuhkan.</v>
      </c>
      <c r="K76" s="12" t="s">
        <v>58</v>
      </c>
      <c r="L76" s="16" t="s">
        <v>54</v>
      </c>
    </row>
    <row r="77" customFormat="false" ht="15" hidden="false" customHeight="false" outlineLevel="0" collapsed="false">
      <c r="A77" s="12" t="n">
        <v>73</v>
      </c>
      <c r="B77" s="13" t="n">
        <f aca="false">Panduan!$B$4+30</f>
        <v>46344</v>
      </c>
      <c r="C77" s="12" t="str">
        <f aca="false">CHOOSE(WEEKDAY(B77,2),"Senin","Selasa","Rabu","Kamis","Jumat","Sabtu","Minggu")</f>
        <v>Rabu</v>
      </c>
      <c r="D77" s="14" t="str">
        <f aca="false">Panduan!$B$7</f>
        <v>20:30</v>
      </c>
      <c r="E77" s="18" t="s">
        <v>59</v>
      </c>
      <c r="F77" s="12" t="s">
        <v>50</v>
      </c>
      <c r="G77" s="12" t="s">
        <v>116</v>
      </c>
      <c r="H77" s="12" t="str">
        <f aca="false">IFERROR(INDEX('Daftar Konten'!$D:$D,MATCH(G77,'Daftar Konten'!$A:$A,0)),"")</f>
        <v>Apresiasi tanpa bonus besar: 4 cara murah</v>
      </c>
      <c r="I77" s="12" t="s">
        <v>52</v>
      </c>
      <c r="J77" s="12" t="str">
        <f aca="false">IFERROR(INDEX('Daftar Konten'!$G:$G,MATCH(G77,'Daftar Konten'!$A:$A,0)),"")</f>
        <v>Apresiasi tanpa bonus besar: 4 cara murah Setuju? Tulis di komentar.</v>
      </c>
      <c r="K77" s="12" t="s">
        <v>60</v>
      </c>
      <c r="L77" s="16" t="s">
        <v>54</v>
      </c>
    </row>
    <row r="78" customFormat="false" ht="15" hidden="false" customHeight="false" outlineLevel="0" collapsed="false">
      <c r="A78" s="12" t="n">
        <v>74</v>
      </c>
      <c r="B78" s="13" t="n">
        <f aca="false">Panduan!$B$4+31</f>
        <v>46345</v>
      </c>
      <c r="C78" s="12" t="str">
        <f aca="false">CHOOSE(WEEKDAY(B78,2),"Senin","Selasa","Rabu","Kamis","Jumat","Sabtu","Minggu")</f>
        <v>Kamis</v>
      </c>
      <c r="D78" s="14" t="str">
        <f aca="false">Panduan!$B$5</f>
        <v>12:00</v>
      </c>
      <c r="E78" s="15" t="s">
        <v>26</v>
      </c>
      <c r="F78" s="12" t="s">
        <v>50</v>
      </c>
      <c r="G78" s="12" t="s">
        <v>118</v>
      </c>
      <c r="H78" s="12" t="str">
        <f aca="false">IFERROR(INDEX('Daftar Konten'!$D:$D,MATCH(G78,'Daftar Konten'!$A:$A,0)),"")</f>
        <v>Karyawan mulai absen tanpa install</v>
      </c>
      <c r="I78" s="12" t="s">
        <v>63</v>
      </c>
      <c r="J78" s="12" t="str">
        <f aca="false">IFERROR(INDEX('Daftar Konten'!$G:$G,MATCH(G78,'Daftar Konten'!$A:$A,0)),"")</f>
        <v>Karyawan mulai absen tanpa install aplikasi. Cukup buka link di HP.</v>
      </c>
      <c r="K78" s="12" t="s">
        <v>53</v>
      </c>
      <c r="L78" s="16" t="s">
        <v>54</v>
      </c>
    </row>
    <row r="79" customFormat="false" ht="15" hidden="false" customHeight="false" outlineLevel="0" collapsed="false">
      <c r="A79" s="12" t="n">
        <v>75</v>
      </c>
      <c r="B79" s="13" t="n">
        <f aca="false">Panduan!$B$4+31</f>
        <v>46345</v>
      </c>
      <c r="C79" s="12" t="str">
        <f aca="false">CHOOSE(WEEKDAY(B79,2),"Senin","Selasa","Rabu","Kamis","Jumat","Sabtu","Minggu")</f>
        <v>Kamis</v>
      </c>
      <c r="D79" s="14" t="str">
        <f aca="false">Panduan!$B$7</f>
        <v>20:30</v>
      </c>
      <c r="E79" s="18" t="s">
        <v>59</v>
      </c>
      <c r="F79" s="12" t="s">
        <v>50</v>
      </c>
      <c r="G79" s="12" t="s">
        <v>118</v>
      </c>
      <c r="H79" s="12" t="str">
        <f aca="false">IFERROR(INDEX('Daftar Konten'!$D:$D,MATCH(G79,'Daftar Konten'!$A:$A,0)),"")</f>
        <v>Karyawan mulai absen tanpa install</v>
      </c>
      <c r="I79" s="12" t="s">
        <v>63</v>
      </c>
      <c r="J79" s="12" t="str">
        <f aca="false">IFERROR(INDEX('Daftar Konten'!$G:$G,MATCH(G79,'Daftar Konten'!$A:$A,0)),"")</f>
        <v>Karyawan mulai absen tanpa install aplikasi. Cukup buka link di HP.</v>
      </c>
      <c r="K79" s="12" t="s">
        <v>60</v>
      </c>
      <c r="L79" s="16" t="s">
        <v>54</v>
      </c>
    </row>
    <row r="80" customFormat="false" ht="15" hidden="false" customHeight="false" outlineLevel="0" collapsed="false">
      <c r="A80" s="12" t="n">
        <v>76</v>
      </c>
      <c r="B80" s="13" t="n">
        <f aca="false">Panduan!$B$4+32</f>
        <v>46346</v>
      </c>
      <c r="C80" s="12" t="str">
        <f aca="false">CHOOSE(WEEKDAY(B80,2),"Senin","Selasa","Rabu","Kamis","Jumat","Sabtu","Minggu")</f>
        <v>Jumat</v>
      </c>
      <c r="D80" s="14" t="str">
        <f aca="false">Panduan!$B$5</f>
        <v>12:00</v>
      </c>
      <c r="E80" s="15" t="s">
        <v>26</v>
      </c>
      <c r="F80" s="12" t="s">
        <v>50</v>
      </c>
      <c r="G80" s="12" t="s">
        <v>119</v>
      </c>
      <c r="H80" s="12" t="str">
        <f aca="false">IFERROR(INDEX('Daftar Konten'!$D:$D,MATCH(G80,'Daftar Konten'!$A:$A,0)),"")</f>
        <v>Yang dipikirkan owner jam 2 pagi</v>
      </c>
      <c r="I80" s="12" t="s">
        <v>63</v>
      </c>
      <c r="J80" s="12" t="str">
        <f aca="false">IFERROR(INDEX('Daftar Konten'!$G:$G,MATCH(G80,'Daftar Konten'!$A:$A,0)),"")</f>
        <v>Yang dipikirkan owner jam 2 pagi Setuju? Tulis di komentar.</v>
      </c>
      <c r="K80" s="12" t="s">
        <v>53</v>
      </c>
      <c r="L80" s="16" t="s">
        <v>54</v>
      </c>
    </row>
    <row r="81" customFormat="false" ht="15" hidden="false" customHeight="false" outlineLevel="0" collapsed="false">
      <c r="A81" s="12" t="n">
        <v>77</v>
      </c>
      <c r="B81" s="13" t="n">
        <f aca="false">Panduan!$B$4+32</f>
        <v>46346</v>
      </c>
      <c r="C81" s="12" t="str">
        <f aca="false">CHOOSE(WEEKDAY(B81,2),"Senin","Selasa","Rabu","Kamis","Jumat","Sabtu","Minggu")</f>
        <v>Jumat</v>
      </c>
      <c r="D81" s="14" t="str">
        <f aca="false">Panduan!$B$6</f>
        <v>19:00</v>
      </c>
      <c r="E81" s="17" t="s">
        <v>27</v>
      </c>
      <c r="F81" s="12" t="s">
        <v>64</v>
      </c>
      <c r="G81" s="12" t="s">
        <v>120</v>
      </c>
      <c r="H81" s="12" t="str">
        <f aca="false">IFERROR(INDEX('Daftar Konten'!$D:$D,MATCH(G81,'Daftar Konten'!$A:$A,0)),"")</f>
        <v>Satu orang absen, tiga nama tercatat</v>
      </c>
      <c r="I81" s="12" t="s">
        <v>57</v>
      </c>
      <c r="J81" s="12" t="str">
        <f aca="false">IFERROR(INDEX('Daftar Konten'!$G:$G,MATCH(G81,'Daftar Konten'!$A:$A,0)),"")</f>
        <v>Titip absen itu rahasia umum. Pernah menemukan di tempat usahamu?</v>
      </c>
      <c r="K81" s="12" t="s">
        <v>58</v>
      </c>
      <c r="L81" s="16" t="s">
        <v>54</v>
      </c>
    </row>
    <row r="82" customFormat="false" ht="15" hidden="false" customHeight="false" outlineLevel="0" collapsed="false">
      <c r="A82" s="12" t="n">
        <v>78</v>
      </c>
      <c r="B82" s="13" t="n">
        <f aca="false">Panduan!$B$4+32</f>
        <v>46346</v>
      </c>
      <c r="C82" s="12" t="str">
        <f aca="false">CHOOSE(WEEKDAY(B82,2),"Senin","Selasa","Rabu","Kamis","Jumat","Sabtu","Minggu")</f>
        <v>Jumat</v>
      </c>
      <c r="D82" s="14" t="str">
        <f aca="false">Panduan!$B$7</f>
        <v>20:30</v>
      </c>
      <c r="E82" s="18" t="s">
        <v>59</v>
      </c>
      <c r="F82" s="12" t="s">
        <v>50</v>
      </c>
      <c r="G82" s="12" t="s">
        <v>119</v>
      </c>
      <c r="H82" s="12" t="str">
        <f aca="false">IFERROR(INDEX('Daftar Konten'!$D:$D,MATCH(G82,'Daftar Konten'!$A:$A,0)),"")</f>
        <v>Yang dipikirkan owner jam 2 pagi</v>
      </c>
      <c r="I82" s="12" t="s">
        <v>63</v>
      </c>
      <c r="J82" s="12" t="str">
        <f aca="false">IFERROR(INDEX('Daftar Konten'!$G:$G,MATCH(G82,'Daftar Konten'!$A:$A,0)),"")</f>
        <v>Yang dipikirkan owner jam 2 pagi Setuju? Tulis di komentar.</v>
      </c>
      <c r="K82" s="12" t="s">
        <v>60</v>
      </c>
      <c r="L82" s="16" t="s">
        <v>54</v>
      </c>
    </row>
    <row r="83" customFormat="false" ht="15" hidden="false" customHeight="false" outlineLevel="0" collapsed="false">
      <c r="A83" s="12" t="n">
        <v>79</v>
      </c>
      <c r="B83" s="13" t="n">
        <f aca="false">Panduan!$B$4+33</f>
        <v>46347</v>
      </c>
      <c r="C83" s="12" t="str">
        <f aca="false">CHOOSE(WEEKDAY(B83,2),"Senin","Selasa","Rabu","Kamis","Jumat","Sabtu","Minggu")</f>
        <v>Sabtu</v>
      </c>
      <c r="D83" s="14" t="str">
        <f aca="false">Panduan!$B$7</f>
        <v>20:30</v>
      </c>
      <c r="E83" s="18" t="s">
        <v>59</v>
      </c>
      <c r="F83" s="12" t="s">
        <v>50</v>
      </c>
      <c r="G83" s="12" t="s">
        <v>121</v>
      </c>
      <c r="H83" s="12" t="str">
        <f aca="false">IFERROR(INDEX('Daftar Konten'!$D:$D,MATCH(G83,'Daftar Konten'!$A:$A,0)),"")</f>
        <v>Kamu bayar gaji. Tahu jam kerja aslinya?</v>
      </c>
      <c r="I83" s="12" t="s">
        <v>76</v>
      </c>
      <c r="J83" s="12" t="str">
        <f aca="false">IFERROR(INDEX('Daftar Konten'!$G:$G,MATCH(G83,'Daftar Konten'!$A:$A,0)),"")</f>
        <v>Kamu bayar gaji. Tahu jam kerja aslinya? Setuju? Tulis di komentar.</v>
      </c>
      <c r="K83" s="12" t="s">
        <v>77</v>
      </c>
      <c r="L83" s="16" t="s">
        <v>54</v>
      </c>
    </row>
    <row r="84" customFormat="false" ht="23.85" hidden="false" customHeight="false" outlineLevel="0" collapsed="false">
      <c r="A84" s="12" t="n">
        <v>80</v>
      </c>
      <c r="B84" s="13" t="n">
        <f aca="false">Panduan!$B$4+34</f>
        <v>46348</v>
      </c>
      <c r="C84" s="12" t="str">
        <f aca="false">CHOOSE(WEEKDAY(B84,2),"Senin","Selasa","Rabu","Kamis","Jumat","Sabtu","Minggu")</f>
        <v>Minggu</v>
      </c>
      <c r="D84" s="14" t="str">
        <f aca="false">Panduan!$B$6</f>
        <v>19:00</v>
      </c>
      <c r="E84" s="17" t="s">
        <v>27</v>
      </c>
      <c r="F84" s="12" t="s">
        <v>64</v>
      </c>
      <c r="G84" s="12" t="s">
        <v>122</v>
      </c>
      <c r="H84" s="12" t="str">
        <f aca="false">IFERROR(INDEX('Daftar Konten'!$D:$D,MATCH(G84,'Daftar Konten'!$A:$A,0)),"")</f>
        <v>Struk belanja: buang atau simpan?</v>
      </c>
      <c r="I84" s="12" t="s">
        <v>66</v>
      </c>
      <c r="J84" s="12" t="str">
        <f aca="false">IFERROR(INDEX('Daftar Konten'!$G:$G,MATCH(G84,'Daftar Konten'!$A:$A,0)),"")</f>
        <v>Struk belanja membantu melacak pengeluaran. Kamu menyimpan struk atau tidak?</v>
      </c>
      <c r="K84" s="12" t="s">
        <v>58</v>
      </c>
      <c r="L84" s="16" t="s">
        <v>54</v>
      </c>
    </row>
    <row r="85" customFormat="false" ht="15" hidden="false" customHeight="false" outlineLevel="0" collapsed="false">
      <c r="A85" s="12" t="n">
        <v>81</v>
      </c>
      <c r="B85" s="13" t="n">
        <f aca="false">Panduan!$B$4+34</f>
        <v>46348</v>
      </c>
      <c r="C85" s="12" t="str">
        <f aca="false">CHOOSE(WEEKDAY(B85,2),"Senin","Selasa","Rabu","Kamis","Jumat","Sabtu","Minggu")</f>
        <v>Minggu</v>
      </c>
      <c r="D85" s="14" t="str">
        <f aca="false">Panduan!$B$7</f>
        <v>20:30</v>
      </c>
      <c r="E85" s="18" t="s">
        <v>59</v>
      </c>
      <c r="F85" s="12" t="s">
        <v>50</v>
      </c>
      <c r="G85" s="12" t="s">
        <v>123</v>
      </c>
      <c r="H85" s="12" t="str">
        <f aca="false">IFERROR(INDEX('Daftar Konten'!$D:$D,MATCH(G85,'Daftar Konten'!$A:$A,0)),"")</f>
        <v>Senin pagi: berapa yang hadir?</v>
      </c>
      <c r="I85" s="12" t="s">
        <v>76</v>
      </c>
      <c r="J85" s="12" t="str">
        <f aca="false">IFERROR(INDEX('Daftar Konten'!$G:$G,MATCH(G85,'Daftar Konten'!$A:$A,0)),"")</f>
        <v>Senin pagi: berapa yang hadir? Setuju? Tulis di komentar.</v>
      </c>
      <c r="K85" s="12" t="s">
        <v>77</v>
      </c>
      <c r="L85" s="16" t="s">
        <v>54</v>
      </c>
    </row>
    <row r="86" customFormat="false" ht="15" hidden="false" customHeight="false" outlineLevel="0" collapsed="false">
      <c r="A86" s="12" t="n">
        <v>82</v>
      </c>
      <c r="B86" s="13" t="n">
        <f aca="false">Panduan!$B$4+35</f>
        <v>46349</v>
      </c>
      <c r="C86" s="12" t="str">
        <f aca="false">CHOOSE(WEEKDAY(B86,2),"Senin","Selasa","Rabu","Kamis","Jumat","Sabtu","Minggu")</f>
        <v>Senin</v>
      </c>
      <c r="D86" s="14" t="str">
        <f aca="false">Panduan!$B$5</f>
        <v>12:00</v>
      </c>
      <c r="E86" s="15" t="s">
        <v>26</v>
      </c>
      <c r="F86" s="12" t="s">
        <v>50</v>
      </c>
      <c r="G86" s="12" t="s">
        <v>124</v>
      </c>
      <c r="H86" s="12" t="str">
        <f aca="false">IFERROR(INDEX('Daftar Konten'!$D:$D,MATCH(G86,'Daftar Konten'!$A:$A,0)),"")</f>
        <v>Punya bengkel? Pantau tim tanpa menelepon</v>
      </c>
      <c r="I86" s="12" t="s">
        <v>73</v>
      </c>
      <c r="J86" s="12" t="str">
        <f aca="false">IFERROR(INDEX('Daftar Konten'!$G:$G,MATCH(G86,'Daftar Konten'!$A:$A,0)),"")</f>
        <v>Punya bengkel? Pantau tim tanpa menelepon Setuju? Tulis di komentar.</v>
      </c>
      <c r="K86" s="12" t="s">
        <v>53</v>
      </c>
      <c r="L86" s="16" t="s">
        <v>54</v>
      </c>
    </row>
    <row r="87" customFormat="false" ht="23.85" hidden="false" customHeight="false" outlineLevel="0" collapsed="false">
      <c r="A87" s="12" t="n">
        <v>83</v>
      </c>
      <c r="B87" s="13" t="n">
        <f aca="false">Panduan!$B$4+35</f>
        <v>46349</v>
      </c>
      <c r="C87" s="12" t="str">
        <f aca="false">CHOOSE(WEEKDAY(B87,2),"Senin","Selasa","Rabu","Kamis","Jumat","Sabtu","Minggu")</f>
        <v>Senin</v>
      </c>
      <c r="D87" s="14" t="str">
        <f aca="false">Panduan!$B$6</f>
        <v>19:00</v>
      </c>
      <c r="E87" s="17" t="s">
        <v>27</v>
      </c>
      <c r="F87" s="12" t="s">
        <v>64</v>
      </c>
      <c r="G87" s="12" t="s">
        <v>125</v>
      </c>
      <c r="H87" s="12" t="str">
        <f aca="false">IFERROR(INDEX('Daftar Konten'!$D:$D,MATCH(G87,'Daftar Konten'!$A:$A,0)),"")</f>
        <v>FIRE vs YOLO: kamu tim mana?</v>
      </c>
      <c r="I87" s="12" t="s">
        <v>66</v>
      </c>
      <c r="J87" s="12" t="str">
        <f aca="false">IFERROR(INDEX('Daftar Konten'!$G:$G,MATCH(G87,'Daftar Konten'!$A:$A,0)),"")</f>
        <v>FIRE atau YOLO? Keduanya punya sisi baik. Kamu lebih condong ke mana? Informasi umum, bukan saran keuangan.</v>
      </c>
      <c r="K87" s="12" t="s">
        <v>58</v>
      </c>
      <c r="L87" s="16" t="s">
        <v>54</v>
      </c>
    </row>
    <row r="88" customFormat="false" ht="15" hidden="false" customHeight="false" outlineLevel="0" collapsed="false">
      <c r="A88" s="12" t="n">
        <v>84</v>
      </c>
      <c r="B88" s="13" t="n">
        <f aca="false">Panduan!$B$4+35</f>
        <v>46349</v>
      </c>
      <c r="C88" s="12" t="str">
        <f aca="false">CHOOSE(WEEKDAY(B88,2),"Senin","Selasa","Rabu","Kamis","Jumat","Sabtu","Minggu")</f>
        <v>Senin</v>
      </c>
      <c r="D88" s="14" t="str">
        <f aca="false">Panduan!$B$7</f>
        <v>20:30</v>
      </c>
      <c r="E88" s="18" t="s">
        <v>59</v>
      </c>
      <c r="F88" s="12" t="s">
        <v>50</v>
      </c>
      <c r="G88" s="12" t="s">
        <v>124</v>
      </c>
      <c r="H88" s="12" t="str">
        <f aca="false">IFERROR(INDEX('Daftar Konten'!$D:$D,MATCH(G88,'Daftar Konten'!$A:$A,0)),"")</f>
        <v>Punya bengkel? Pantau tim tanpa menelepon</v>
      </c>
      <c r="I88" s="12" t="s">
        <v>73</v>
      </c>
      <c r="J88" s="12" t="str">
        <f aca="false">IFERROR(INDEX('Daftar Konten'!$G:$G,MATCH(G88,'Daftar Konten'!$A:$A,0)),"")</f>
        <v>Punya bengkel? Pantau tim tanpa menelepon Setuju? Tulis di komentar.</v>
      </c>
      <c r="K88" s="12" t="s">
        <v>60</v>
      </c>
      <c r="L88" s="16" t="s">
        <v>54</v>
      </c>
    </row>
    <row r="89" customFormat="false" ht="15" hidden="false" customHeight="false" outlineLevel="0" collapsed="false">
      <c r="A89" s="12" t="n">
        <v>85</v>
      </c>
      <c r="B89" s="13" t="n">
        <f aca="false">Panduan!$B$4+36</f>
        <v>46350</v>
      </c>
      <c r="C89" s="12" t="str">
        <f aca="false">CHOOSE(WEEKDAY(B89,2),"Senin","Selasa","Rabu","Kamis","Jumat","Sabtu","Minggu")</f>
        <v>Selasa</v>
      </c>
      <c r="D89" s="14" t="str">
        <f aca="false">Panduan!$B$5</f>
        <v>12:00</v>
      </c>
      <c r="E89" s="15" t="s">
        <v>26</v>
      </c>
      <c r="F89" s="12" t="s">
        <v>50</v>
      </c>
      <c r="G89" s="12" t="s">
        <v>126</v>
      </c>
      <c r="H89" s="12" t="str">
        <f aca="false">IFERROR(INDEX('Daftar Konten'!$D:$D,MATCH(G89,'Daftar Konten'!$A:$A,0)),"")</f>
        <v>Gaji bruto vs neto: apa bedanya?</v>
      </c>
      <c r="I89" s="12" t="s">
        <v>73</v>
      </c>
      <c r="J89" s="12" t="str">
        <f aca="false">IFERROR(INDEX('Daftar Konten'!$G:$G,MATCH(G89,'Daftar Konten'!$A:$A,0)),"")</f>
        <v>Gaji bruto vs neto: apa bedanya? Setuju? Tulis di komentar.</v>
      </c>
      <c r="K89" s="12" t="s">
        <v>53</v>
      </c>
      <c r="L89" s="16" t="s">
        <v>54</v>
      </c>
    </row>
    <row r="90" customFormat="false" ht="15" hidden="false" customHeight="false" outlineLevel="0" collapsed="false">
      <c r="A90" s="12" t="n">
        <v>86</v>
      </c>
      <c r="B90" s="13" t="n">
        <f aca="false">Panduan!$B$4+36</f>
        <v>46350</v>
      </c>
      <c r="C90" s="12" t="str">
        <f aca="false">CHOOSE(WEEKDAY(B90,2),"Senin","Selasa","Rabu","Kamis","Jumat","Sabtu","Minggu")</f>
        <v>Selasa</v>
      </c>
      <c r="D90" s="14" t="str">
        <f aca="false">Panduan!$B$7</f>
        <v>20:30</v>
      </c>
      <c r="E90" s="18" t="s">
        <v>59</v>
      </c>
      <c r="F90" s="12" t="s">
        <v>50</v>
      </c>
      <c r="G90" s="12" t="s">
        <v>126</v>
      </c>
      <c r="H90" s="12" t="str">
        <f aca="false">IFERROR(INDEX('Daftar Konten'!$D:$D,MATCH(G90,'Daftar Konten'!$A:$A,0)),"")</f>
        <v>Gaji bruto vs neto: apa bedanya?</v>
      </c>
      <c r="I90" s="12" t="s">
        <v>73</v>
      </c>
      <c r="J90" s="12" t="str">
        <f aca="false">IFERROR(INDEX('Daftar Konten'!$G:$G,MATCH(G90,'Daftar Konten'!$A:$A,0)),"")</f>
        <v>Gaji bruto vs neto: apa bedanya? Setuju? Tulis di komentar.</v>
      </c>
      <c r="K90" s="12" t="s">
        <v>60</v>
      </c>
      <c r="L90" s="16" t="s">
        <v>54</v>
      </c>
    </row>
    <row r="91" customFormat="false" ht="23.85" hidden="false" customHeight="false" outlineLevel="0" collapsed="false">
      <c r="A91" s="12" t="n">
        <v>87</v>
      </c>
      <c r="B91" s="13" t="n">
        <f aca="false">Panduan!$B$4+37</f>
        <v>46351</v>
      </c>
      <c r="C91" s="12" t="str">
        <f aca="false">CHOOSE(WEEKDAY(B91,2),"Senin","Selasa","Rabu","Kamis","Jumat","Sabtu","Minggu")</f>
        <v>Rabu</v>
      </c>
      <c r="D91" s="14" t="str">
        <f aca="false">Panduan!$B$5</f>
        <v>12:00</v>
      </c>
      <c r="E91" s="15" t="s">
        <v>26</v>
      </c>
      <c r="F91" s="12" t="s">
        <v>50</v>
      </c>
      <c r="G91" s="12" t="s">
        <v>127</v>
      </c>
      <c r="H91" s="12" t="str">
        <f aca="false">IFERROR(INDEX('Daftar Konten'!$D:$D,MATCH(G91,'Daftar Konten'!$A:$A,0)),"")</f>
        <v>Slip gaji yang baik isinya apa saja?</v>
      </c>
      <c r="I91" s="12" t="s">
        <v>52</v>
      </c>
      <c r="J91" s="12" t="str">
        <f aca="false">IFERROR(INDEX('Daftar Konten'!$G:$G,MATCH(G91,'Daftar Konten'!$A:$A,0)),"")</f>
        <v>Slip gaji yang baik memuat pendapatan, potongan, dan total diterima. Ada yang mau kamu tambahkan?</v>
      </c>
      <c r="K91" s="12" t="s">
        <v>53</v>
      </c>
      <c r="L91" s="16" t="s">
        <v>54</v>
      </c>
    </row>
    <row r="92" customFormat="false" ht="15" hidden="false" customHeight="false" outlineLevel="0" collapsed="false">
      <c r="A92" s="12" t="n">
        <v>88</v>
      </c>
      <c r="B92" s="13" t="n">
        <f aca="false">Panduan!$B$4+37</f>
        <v>46351</v>
      </c>
      <c r="C92" s="12" t="str">
        <f aca="false">CHOOSE(WEEKDAY(B92,2),"Senin","Selasa","Rabu","Kamis","Jumat","Sabtu","Minggu")</f>
        <v>Rabu</v>
      </c>
      <c r="D92" s="14" t="str">
        <f aca="false">Panduan!$B$6</f>
        <v>19:00</v>
      </c>
      <c r="E92" s="17" t="s">
        <v>27</v>
      </c>
      <c r="F92" s="12" t="s">
        <v>64</v>
      </c>
      <c r="G92" s="12" t="s">
        <v>128</v>
      </c>
      <c r="H92" s="12" t="str">
        <f aca="false">IFERROR(INDEX('Daftar Konten'!$D:$D,MATCH(G92,'Daftar Konten'!$A:$A,0)),"")</f>
        <v/>
      </c>
      <c r="I92" s="12" t="s">
        <v>66</v>
      </c>
      <c r="J92" s="12" t="str">
        <f aca="false">IFERROR(INDEX('Daftar Konten'!$G:$G,MATCH(G92,'Daftar Konten'!$A:$A,0)),"")</f>
        <v/>
      </c>
      <c r="K92" s="12" t="s">
        <v>58</v>
      </c>
      <c r="L92" s="16" t="s">
        <v>54</v>
      </c>
    </row>
    <row r="93" customFormat="false" ht="23.85" hidden="false" customHeight="false" outlineLevel="0" collapsed="false">
      <c r="A93" s="12" t="n">
        <v>89</v>
      </c>
      <c r="B93" s="13" t="n">
        <f aca="false">Panduan!$B$4+37</f>
        <v>46351</v>
      </c>
      <c r="C93" s="12" t="str">
        <f aca="false">CHOOSE(WEEKDAY(B93,2),"Senin","Selasa","Rabu","Kamis","Jumat","Sabtu","Minggu")</f>
        <v>Rabu</v>
      </c>
      <c r="D93" s="14" t="str">
        <f aca="false">Panduan!$B$7</f>
        <v>20:30</v>
      </c>
      <c r="E93" s="18" t="s">
        <v>59</v>
      </c>
      <c r="F93" s="12" t="s">
        <v>50</v>
      </c>
      <c r="G93" s="12" t="s">
        <v>127</v>
      </c>
      <c r="H93" s="12" t="str">
        <f aca="false">IFERROR(INDEX('Daftar Konten'!$D:$D,MATCH(G93,'Daftar Konten'!$A:$A,0)),"")</f>
        <v>Slip gaji yang baik isinya apa saja?</v>
      </c>
      <c r="I93" s="12" t="s">
        <v>52</v>
      </c>
      <c r="J93" s="12" t="str">
        <f aca="false">IFERROR(INDEX('Daftar Konten'!$G:$G,MATCH(G93,'Daftar Konten'!$A:$A,0)),"")</f>
        <v>Slip gaji yang baik memuat pendapatan, potongan, dan total diterima. Ada yang mau kamu tambahkan?</v>
      </c>
      <c r="K93" s="12" t="s">
        <v>60</v>
      </c>
      <c r="L93" s="16" t="s">
        <v>54</v>
      </c>
    </row>
    <row r="94" customFormat="false" ht="15" hidden="false" customHeight="false" outlineLevel="0" collapsed="false">
      <c r="A94" s="12" t="n">
        <v>90</v>
      </c>
      <c r="B94" s="13" t="n">
        <f aca="false">Panduan!$B$4+38</f>
        <v>46352</v>
      </c>
      <c r="C94" s="12" t="str">
        <f aca="false">CHOOSE(WEEKDAY(B94,2),"Senin","Selasa","Rabu","Kamis","Jumat","Sabtu","Minggu")</f>
        <v>Kamis</v>
      </c>
      <c r="D94" s="14" t="str">
        <f aca="false">Panduan!$B$5</f>
        <v>12:00</v>
      </c>
      <c r="E94" s="15" t="s">
        <v>26</v>
      </c>
      <c r="F94" s="12" t="s">
        <v>50</v>
      </c>
      <c r="G94" s="12" t="s">
        <v>129</v>
      </c>
      <c r="H94" s="12" t="str">
        <f aca="false">IFERROR(INDEX('Daftar Konten'!$D:$D,MATCH(G94,'Daftar Konten'!$A:$A,0)),"")</f>
        <v>Tanda karyawan mulai tidak betah</v>
      </c>
      <c r="I94" s="12" t="s">
        <v>52</v>
      </c>
      <c r="J94" s="12" t="str">
        <f aca="false">IFERROR(INDEX('Daftar Konten'!$G:$G,MATCH(G94,'Daftar Konten'!$A:$A,0)),"")</f>
        <v>Tanda karyawan mulai tidak betah Setuju? Tulis di komentar.</v>
      </c>
      <c r="K94" s="12" t="s">
        <v>53</v>
      </c>
      <c r="L94" s="16" t="s">
        <v>54</v>
      </c>
    </row>
    <row r="95" customFormat="false" ht="15" hidden="false" customHeight="false" outlineLevel="0" collapsed="false">
      <c r="A95" s="12" t="n">
        <v>91</v>
      </c>
      <c r="B95" s="13" t="n">
        <f aca="false">Panduan!$B$4+38</f>
        <v>46352</v>
      </c>
      <c r="C95" s="12" t="str">
        <f aca="false">CHOOSE(WEEKDAY(B95,2),"Senin","Selasa","Rabu","Kamis","Jumat","Sabtu","Minggu")</f>
        <v>Kamis</v>
      </c>
      <c r="D95" s="14" t="str">
        <f aca="false">Panduan!$B$7</f>
        <v>20:30</v>
      </c>
      <c r="E95" s="18" t="s">
        <v>59</v>
      </c>
      <c r="F95" s="12" t="s">
        <v>50</v>
      </c>
      <c r="G95" s="12" t="s">
        <v>129</v>
      </c>
      <c r="H95" s="12" t="str">
        <f aca="false">IFERROR(INDEX('Daftar Konten'!$D:$D,MATCH(G95,'Daftar Konten'!$A:$A,0)),"")</f>
        <v>Tanda karyawan mulai tidak betah</v>
      </c>
      <c r="I95" s="12" t="s">
        <v>52</v>
      </c>
      <c r="J95" s="12" t="str">
        <f aca="false">IFERROR(INDEX('Daftar Konten'!$G:$G,MATCH(G95,'Daftar Konten'!$A:$A,0)),"")</f>
        <v>Tanda karyawan mulai tidak betah Setuju? Tulis di komentar.</v>
      </c>
      <c r="K95" s="12" t="s">
        <v>60</v>
      </c>
      <c r="L95" s="16" t="s">
        <v>54</v>
      </c>
    </row>
    <row r="96" customFormat="false" ht="15" hidden="false" customHeight="false" outlineLevel="0" collapsed="false">
      <c r="A96" s="12" t="n">
        <v>92</v>
      </c>
      <c r="B96" s="13" t="n">
        <f aca="false">Panduan!$B$4+39</f>
        <v>46353</v>
      </c>
      <c r="C96" s="12" t="str">
        <f aca="false">CHOOSE(WEEKDAY(B96,2),"Senin","Selasa","Rabu","Kamis","Jumat","Sabtu","Minggu")</f>
        <v>Jumat</v>
      </c>
      <c r="D96" s="14" t="str">
        <f aca="false">Panduan!$B$5</f>
        <v>12:00</v>
      </c>
      <c r="E96" s="15" t="s">
        <v>26</v>
      </c>
      <c r="F96" s="12" t="s">
        <v>50</v>
      </c>
      <c r="G96" s="12" t="s">
        <v>130</v>
      </c>
      <c r="H96" s="12" t="str">
        <f aca="false">IFERROR(INDEX('Daftar Konten'!$D:$D,MATCH(G96,'Daftar Konten'!$A:$A,0)),"")</f>
        <v>Slip gaji digital untuk karyawan</v>
      </c>
      <c r="I96" s="12" t="s">
        <v>63</v>
      </c>
      <c r="J96" s="12" t="str">
        <f aca="false">IFERROR(INDEX('Daftar Konten'!$G:$G,MATCH(G96,'Daftar Konten'!$A:$A,0)),"")</f>
        <v>Slip gaji digital yang dibuka karyawan sendiri. Tanpa kirim satu per satu.</v>
      </c>
      <c r="K96" s="12" t="s">
        <v>53</v>
      </c>
      <c r="L96" s="16" t="s">
        <v>54</v>
      </c>
    </row>
    <row r="97" customFormat="false" ht="23.85" hidden="false" customHeight="false" outlineLevel="0" collapsed="false">
      <c r="A97" s="12" t="n">
        <v>93</v>
      </c>
      <c r="B97" s="13" t="n">
        <f aca="false">Panduan!$B$4+39</f>
        <v>46353</v>
      </c>
      <c r="C97" s="12" t="str">
        <f aca="false">CHOOSE(WEEKDAY(B97,2),"Senin","Selasa","Rabu","Kamis","Jumat","Sabtu","Minggu")</f>
        <v>Jumat</v>
      </c>
      <c r="D97" s="14" t="str">
        <f aca="false">Panduan!$B$6</f>
        <v>19:00</v>
      </c>
      <c r="E97" s="17" t="s">
        <v>27</v>
      </c>
      <c r="F97" s="12" t="s">
        <v>64</v>
      </c>
      <c r="G97" s="12" t="s">
        <v>131</v>
      </c>
      <c r="H97" s="12" t="str">
        <f aca="false">IFERROR(INDEX('Daftar Konten'!$D:$D,MATCH(G97,'Daftar Konten'!$A:$A,0)),"")</f>
        <v>"Aku skip dulu ya, lagi nabung. Lain kali aku ikut."</v>
      </c>
      <c r="I97" s="12" t="s">
        <v>66</v>
      </c>
      <c r="J97" s="12" t="str">
        <f aca="false">IFERROR(INDEX('Daftar Konten'!$G:$G,MATCH(G97,'Daftar Konten'!$A:$A,0)),"")</f>
        <v>Menolak ajakan itu boleh, asal jujur dan ramah. Simpan kalimat ini untuk dipakai saat butuh.</v>
      </c>
      <c r="K97" s="12" t="s">
        <v>58</v>
      </c>
      <c r="L97" s="16" t="s">
        <v>54</v>
      </c>
    </row>
    <row r="98" customFormat="false" ht="15" hidden="false" customHeight="false" outlineLevel="0" collapsed="false">
      <c r="A98" s="12" t="n">
        <v>94</v>
      </c>
      <c r="B98" s="13" t="n">
        <f aca="false">Panduan!$B$4+39</f>
        <v>46353</v>
      </c>
      <c r="C98" s="12" t="str">
        <f aca="false">CHOOSE(WEEKDAY(B98,2),"Senin","Selasa","Rabu","Kamis","Jumat","Sabtu","Minggu")</f>
        <v>Jumat</v>
      </c>
      <c r="D98" s="14" t="str">
        <f aca="false">Panduan!$B$7</f>
        <v>20:30</v>
      </c>
      <c r="E98" s="18" t="s">
        <v>59</v>
      </c>
      <c r="F98" s="12" t="s">
        <v>50</v>
      </c>
      <c r="G98" s="12" t="s">
        <v>130</v>
      </c>
      <c r="H98" s="12" t="str">
        <f aca="false">IFERROR(INDEX('Daftar Konten'!$D:$D,MATCH(G98,'Daftar Konten'!$A:$A,0)),"")</f>
        <v>Slip gaji digital untuk karyawan</v>
      </c>
      <c r="I98" s="12" t="s">
        <v>63</v>
      </c>
      <c r="J98" s="12" t="str">
        <f aca="false">IFERROR(INDEX('Daftar Konten'!$G:$G,MATCH(G98,'Daftar Konten'!$A:$A,0)),"")</f>
        <v>Slip gaji digital yang dibuka karyawan sendiri. Tanpa kirim satu per satu.</v>
      </c>
      <c r="K98" s="12" t="s">
        <v>60</v>
      </c>
      <c r="L98" s="16" t="s">
        <v>54</v>
      </c>
    </row>
    <row r="99" customFormat="false" ht="15" hidden="false" customHeight="false" outlineLevel="0" collapsed="false">
      <c r="A99" s="12" t="n">
        <v>95</v>
      </c>
      <c r="B99" s="13" t="n">
        <f aca="false">Panduan!$B$4+40</f>
        <v>46354</v>
      </c>
      <c r="C99" s="12" t="str">
        <f aca="false">CHOOSE(WEEKDAY(B99,2),"Senin","Selasa","Rabu","Kamis","Jumat","Sabtu","Minggu")</f>
        <v>Sabtu</v>
      </c>
      <c r="D99" s="14" t="str">
        <f aca="false">Panduan!$B$7</f>
        <v>20:30</v>
      </c>
      <c r="E99" s="18" t="s">
        <v>59</v>
      </c>
      <c r="F99" s="12" t="s">
        <v>50</v>
      </c>
      <c r="G99" s="12" t="s">
        <v>132</v>
      </c>
      <c r="H99" s="12" t="str">
        <f aca="false">IFERROR(INDEX('Daftar Konten'!$D:$D,MATCH(G99,'Daftar Konten'!$A:$A,0)),"")</f>
        <v>HP karyawan rusak. Data absennya hilang?</v>
      </c>
      <c r="I99" s="12" t="s">
        <v>76</v>
      </c>
      <c r="J99" s="12" t="str">
        <f aca="false">IFERROR(INDEX('Daftar Konten'!$G:$G,MATCH(G99,'Daftar Konten'!$A:$A,0)),"")</f>
        <v>HP karyawan rusak. Data absennya hilang? Setuju? Tulis di komentar.</v>
      </c>
      <c r="K99" s="12" t="s">
        <v>77</v>
      </c>
      <c r="L99" s="16" t="s">
        <v>54</v>
      </c>
    </row>
    <row r="100" customFormat="false" ht="15" hidden="false" customHeight="false" outlineLevel="0" collapsed="false">
      <c r="A100" s="12" t="n">
        <v>96</v>
      </c>
      <c r="B100" s="13" t="n">
        <f aca="false">Panduan!$B$4+41</f>
        <v>46355</v>
      </c>
      <c r="C100" s="12" t="str">
        <f aca="false">CHOOSE(WEEKDAY(B100,2),"Senin","Selasa","Rabu","Kamis","Jumat","Sabtu","Minggu")</f>
        <v>Minggu</v>
      </c>
      <c r="D100" s="14" t="str">
        <f aca="false">Panduan!$B$6</f>
        <v>19:00</v>
      </c>
      <c r="E100" s="17" t="s">
        <v>27</v>
      </c>
      <c r="F100" s="12" t="s">
        <v>64</v>
      </c>
      <c r="G100" s="12" t="s">
        <v>133</v>
      </c>
      <c r="H100" s="12" t="str">
        <f aca="false">IFERROR(INDEX('Daftar Konten'!$D:$D,MATCH(G100,'Daftar Konten'!$A:$A,0)),"")</f>
        <v>Dana liburan: rumus sederhana</v>
      </c>
      <c r="I100" s="12" t="s">
        <v>66</v>
      </c>
      <c r="J100" s="12" t="str">
        <f aca="false">IFERROR(INDEX('Daftar Konten'!$G:$G,MATCH(G100,'Daftar Konten'!$A:$A,0)),"")</f>
        <v>Rumus sederhana menyiapkan dana liburan. Angka hanya contoh.</v>
      </c>
      <c r="K100" s="12" t="s">
        <v>58</v>
      </c>
      <c r="L100" s="16" t="s">
        <v>54</v>
      </c>
    </row>
    <row r="101" customFormat="false" ht="23.85" hidden="false" customHeight="false" outlineLevel="0" collapsed="false">
      <c r="A101" s="12" t="n">
        <v>97</v>
      </c>
      <c r="B101" s="13" t="n">
        <f aca="false">Panduan!$B$4+41</f>
        <v>46355</v>
      </c>
      <c r="C101" s="12" t="str">
        <f aca="false">CHOOSE(WEEKDAY(B101,2),"Senin","Selasa","Rabu","Kamis","Jumat","Sabtu","Minggu")</f>
        <v>Minggu</v>
      </c>
      <c r="D101" s="14" t="str">
        <f aca="false">Panduan!$B$7</f>
        <v>20:30</v>
      </c>
      <c r="E101" s="18" t="s">
        <v>59</v>
      </c>
      <c r="F101" s="12" t="s">
        <v>50</v>
      </c>
      <c r="G101" s="12" t="s">
        <v>134</v>
      </c>
      <c r="H101" s="12" t="str">
        <f aca="false">IFERROR(INDEX('Daftar Konten'!$D:$D,MATCH(G101,'Daftar Konten'!$A:$A,0)),"")</f>
        <v>'Hujan deras, Pak, saya telat.' Dimaafkan atau dipotong?</v>
      </c>
      <c r="I101" s="12" t="s">
        <v>76</v>
      </c>
      <c r="J101" s="12" t="str">
        <f aca="false">IFERROR(INDEX('Daftar Konten'!$G:$G,MATCH(G101,'Daftar Konten'!$A:$A,0)),"")</f>
        <v>'Hujan deras, Pak, saya telat.' Dimaafkan atau dipotong? Setuju? Tulis di komentar.</v>
      </c>
      <c r="K101" s="12" t="s">
        <v>77</v>
      </c>
      <c r="L101" s="16" t="s">
        <v>54</v>
      </c>
    </row>
    <row r="102" customFormat="false" ht="15" hidden="false" customHeight="false" outlineLevel="0" collapsed="false">
      <c r="A102" s="12" t="n">
        <v>98</v>
      </c>
      <c r="B102" s="13" t="n">
        <f aca="false">Panduan!$B$4+42</f>
        <v>46356</v>
      </c>
      <c r="C102" s="12" t="str">
        <f aca="false">CHOOSE(WEEKDAY(B102,2),"Senin","Selasa","Rabu","Kamis","Jumat","Sabtu","Minggu")</f>
        <v>Senin</v>
      </c>
      <c r="D102" s="14" t="str">
        <f aca="false">Panduan!$B$5</f>
        <v>12:00</v>
      </c>
      <c r="E102" s="15" t="s">
        <v>26</v>
      </c>
      <c r="F102" s="12" t="s">
        <v>50</v>
      </c>
      <c r="G102" s="12" t="s">
        <v>135</v>
      </c>
      <c r="H102" s="12" t="str">
        <f aca="false">IFERROR(INDEX('Daftar Konten'!$D:$D,MATCH(G102,'Daftar Konten'!$A:$A,0)),"")</f>
        <v>Owner vs file Excel absen</v>
      </c>
      <c r="I102" s="12" t="s">
        <v>63</v>
      </c>
      <c r="J102" s="12" t="str">
        <f aca="false">IFERROR(INDEX('Daftar Konten'!$G:$G,MATCH(G102,'Daftar Konten'!$A:$A,0)),"")</f>
        <v>Owner vs file Excel absen Setuju? Tulis di komentar.</v>
      </c>
      <c r="K102" s="12" t="s">
        <v>53</v>
      </c>
      <c r="L102" s="16" t="s">
        <v>54</v>
      </c>
    </row>
    <row r="103" customFormat="false" ht="15" hidden="false" customHeight="false" outlineLevel="0" collapsed="false">
      <c r="A103" s="12" t="n">
        <v>99</v>
      </c>
      <c r="B103" s="13" t="n">
        <f aca="false">Panduan!$B$4+42</f>
        <v>46356</v>
      </c>
      <c r="C103" s="12" t="str">
        <f aca="false">CHOOSE(WEEKDAY(B103,2),"Senin","Selasa","Rabu","Kamis","Jumat","Sabtu","Minggu")</f>
        <v>Senin</v>
      </c>
      <c r="D103" s="14" t="str">
        <f aca="false">Panduan!$B$6</f>
        <v>19:00</v>
      </c>
      <c r="E103" s="17" t="s">
        <v>27</v>
      </c>
      <c r="F103" s="12" t="s">
        <v>64</v>
      </c>
      <c r="G103" s="12" t="s">
        <v>136</v>
      </c>
      <c r="H103" s="12" t="str">
        <f aca="false">IFERROR(INDEX('Daftar Konten'!$D:$D,MATCH(G103,'Daftar Konten'!$A:$A,0)),"")</f>
        <v>Jam 9 pagi. Siapa yang sudah masuk?</v>
      </c>
      <c r="I103" s="12" t="s">
        <v>57</v>
      </c>
      <c r="J103" s="12" t="str">
        <f aca="false">IFERROR(INDEX('Daftar Konten'!$G:$G,MATCH(G103,'Daftar Konten'!$A:$A,0)),"")</f>
        <v>Sekarang jam berapa? Kamu tahu siapa saja yang sudah masuk hari ini?</v>
      </c>
      <c r="K103" s="12" t="s">
        <v>58</v>
      </c>
      <c r="L103" s="16" t="s">
        <v>54</v>
      </c>
    </row>
    <row r="104" customFormat="false" ht="15" hidden="false" customHeight="false" outlineLevel="0" collapsed="false">
      <c r="A104" s="12" t="n">
        <v>100</v>
      </c>
      <c r="B104" s="13" t="n">
        <f aca="false">Panduan!$B$4+42</f>
        <v>46356</v>
      </c>
      <c r="C104" s="12" t="str">
        <f aca="false">CHOOSE(WEEKDAY(B104,2),"Senin","Selasa","Rabu","Kamis","Jumat","Sabtu","Minggu")</f>
        <v>Senin</v>
      </c>
      <c r="D104" s="14" t="str">
        <f aca="false">Panduan!$B$7</f>
        <v>20:30</v>
      </c>
      <c r="E104" s="18" t="s">
        <v>59</v>
      </c>
      <c r="F104" s="12" t="s">
        <v>50</v>
      </c>
      <c r="G104" s="12" t="s">
        <v>135</v>
      </c>
      <c r="H104" s="12" t="str">
        <f aca="false">IFERROR(INDEX('Daftar Konten'!$D:$D,MATCH(G104,'Daftar Konten'!$A:$A,0)),"")</f>
        <v>Owner vs file Excel absen</v>
      </c>
      <c r="I104" s="12" t="s">
        <v>63</v>
      </c>
      <c r="J104" s="12" t="str">
        <f aca="false">IFERROR(INDEX('Daftar Konten'!$G:$G,MATCH(G104,'Daftar Konten'!$A:$A,0)),"")</f>
        <v>Owner vs file Excel absen Setuju? Tulis di komentar.</v>
      </c>
      <c r="K104" s="12" t="s">
        <v>60</v>
      </c>
      <c r="L104" s="16" t="s">
        <v>54</v>
      </c>
    </row>
    <row r="105" customFormat="false" ht="23.85" hidden="false" customHeight="false" outlineLevel="0" collapsed="false">
      <c r="A105" s="12" t="n">
        <v>101</v>
      </c>
      <c r="B105" s="13" t="n">
        <f aca="false">Panduan!$B$4+43</f>
        <v>46357</v>
      </c>
      <c r="C105" s="12" t="str">
        <f aca="false">CHOOSE(WEEKDAY(B105,2),"Senin","Selasa","Rabu","Kamis","Jumat","Sabtu","Minggu")</f>
        <v>Selasa</v>
      </c>
      <c r="D105" s="14" t="str">
        <f aca="false">Panduan!$B$5</f>
        <v>12:00</v>
      </c>
      <c r="E105" s="15" t="s">
        <v>26</v>
      </c>
      <c r="F105" s="12" t="s">
        <v>50</v>
      </c>
      <c r="G105" s="12" t="s">
        <v>137</v>
      </c>
      <c r="H105" s="12" t="str">
        <f aca="false">IFERROR(INDEX('Daftar Konten'!$D:$D,MATCH(G105,'Daftar Konten'!$A:$A,0)),"")</f>
        <v>Punya laundry? Atur shift dan lembur dengan rapi</v>
      </c>
      <c r="I105" s="12" t="s">
        <v>73</v>
      </c>
      <c r="J105" s="12" t="str">
        <f aca="false">IFERROR(INDEX('Daftar Konten'!$G:$G,MATCH(G105,'Daftar Konten'!$A:$A,0)),"")</f>
        <v>Punya laundry? Atur shift dan lembur dengan rapi Setuju? Tulis di komentar.</v>
      </c>
      <c r="K105" s="12" t="s">
        <v>53</v>
      </c>
      <c r="L105" s="16" t="s">
        <v>54</v>
      </c>
    </row>
    <row r="106" customFormat="false" ht="23.85" hidden="false" customHeight="false" outlineLevel="0" collapsed="false">
      <c r="A106" s="12" t="n">
        <v>102</v>
      </c>
      <c r="B106" s="13" t="n">
        <f aca="false">Panduan!$B$4+43</f>
        <v>46357</v>
      </c>
      <c r="C106" s="12" t="str">
        <f aca="false">CHOOSE(WEEKDAY(B106,2),"Senin","Selasa","Rabu","Kamis","Jumat","Sabtu","Minggu")</f>
        <v>Selasa</v>
      </c>
      <c r="D106" s="14" t="str">
        <f aca="false">Panduan!$B$7</f>
        <v>20:30</v>
      </c>
      <c r="E106" s="18" t="s">
        <v>59</v>
      </c>
      <c r="F106" s="12" t="s">
        <v>50</v>
      </c>
      <c r="G106" s="12" t="s">
        <v>137</v>
      </c>
      <c r="H106" s="12" t="str">
        <f aca="false">IFERROR(INDEX('Daftar Konten'!$D:$D,MATCH(G106,'Daftar Konten'!$A:$A,0)),"")</f>
        <v>Punya laundry? Atur shift dan lembur dengan rapi</v>
      </c>
      <c r="I106" s="12" t="s">
        <v>73</v>
      </c>
      <c r="J106" s="12" t="str">
        <f aca="false">IFERROR(INDEX('Daftar Konten'!$G:$G,MATCH(G106,'Daftar Konten'!$A:$A,0)),"")</f>
        <v>Punya laundry? Atur shift dan lembur dengan rapi Setuju? Tulis di komentar.</v>
      </c>
      <c r="K106" s="12" t="s">
        <v>60</v>
      </c>
      <c r="L106" s="16" t="s">
        <v>54</v>
      </c>
    </row>
    <row r="107" customFormat="false" ht="15" hidden="false" customHeight="false" outlineLevel="0" collapsed="false">
      <c r="A107" s="12" t="n">
        <v>103</v>
      </c>
      <c r="B107" s="13" t="n">
        <f aca="false">Panduan!$B$4+44</f>
        <v>46358</v>
      </c>
      <c r="C107" s="12" t="str">
        <f aca="false">CHOOSE(WEEKDAY(B107,2),"Senin","Selasa","Rabu","Kamis","Jumat","Sabtu","Minggu")</f>
        <v>Rabu</v>
      </c>
      <c r="D107" s="14" t="str">
        <f aca="false">Panduan!$B$5</f>
        <v>12:00</v>
      </c>
      <c r="E107" s="15" t="s">
        <v>26</v>
      </c>
      <c r="F107" s="12" t="s">
        <v>50</v>
      </c>
      <c r="G107" s="12" t="s">
        <v>138</v>
      </c>
      <c r="H107" s="12" t="str">
        <f aca="false">IFERROR(INDEX('Daftar Konten'!$D:$D,MATCH(G107,'Daftar Konten'!$A:$A,0)),"")</f>
        <v>Masa percobaan: hal yang perlu jelas</v>
      </c>
      <c r="I107" s="12" t="s">
        <v>73</v>
      </c>
      <c r="J107" s="12" t="str">
        <f aca="false">IFERROR(INDEX('Daftar Konten'!$G:$G,MATCH(G107,'Daftar Konten'!$A:$A,0)),"")</f>
        <v>Masa percobaan: hal yang perlu jelas Setuju? Tulis di komentar.</v>
      </c>
      <c r="K107" s="12" t="s">
        <v>53</v>
      </c>
      <c r="L107" s="16" t="s">
        <v>54</v>
      </c>
    </row>
    <row r="108" customFormat="false" ht="15" hidden="false" customHeight="false" outlineLevel="0" collapsed="false">
      <c r="A108" s="12" t="n">
        <v>104</v>
      </c>
      <c r="B108" s="13" t="n">
        <f aca="false">Panduan!$B$4+44</f>
        <v>46358</v>
      </c>
      <c r="C108" s="12" t="str">
        <f aca="false">CHOOSE(WEEKDAY(B108,2),"Senin","Selasa","Rabu","Kamis","Jumat","Sabtu","Minggu")</f>
        <v>Rabu</v>
      </c>
      <c r="D108" s="14" t="str">
        <f aca="false">Panduan!$B$6</f>
        <v>19:00</v>
      </c>
      <c r="E108" s="17" t="s">
        <v>27</v>
      </c>
      <c r="F108" s="12" t="s">
        <v>64</v>
      </c>
      <c r="G108" s="12" t="s">
        <v>139</v>
      </c>
      <c r="H108" s="12" t="str">
        <f aca="false">IFERROR(INDEX('Daftar Konten'!$D:$D,MATCH(G108,'Daftar Konten'!$A:$A,0)),"")</f>
        <v>Meal prep hemat untuk 1 minggu</v>
      </c>
      <c r="I108" s="12" t="s">
        <v>66</v>
      </c>
      <c r="J108" s="12" t="str">
        <f aca="false">IFERROR(INDEX('Daftar Konten'!$G:$G,MATCH(G108,'Daftar Konten'!$A:$A,0)),"")</f>
        <v>Meal prep bantu hemat uang dan waktu. Mulai dari porsi kecil dulu.</v>
      </c>
      <c r="K108" s="12" t="s">
        <v>58</v>
      </c>
      <c r="L108" s="16" t="s">
        <v>54</v>
      </c>
    </row>
    <row r="109" customFormat="false" ht="15" hidden="false" customHeight="false" outlineLevel="0" collapsed="false">
      <c r="A109" s="12" t="n">
        <v>105</v>
      </c>
      <c r="B109" s="13" t="n">
        <f aca="false">Panduan!$B$4+44</f>
        <v>46358</v>
      </c>
      <c r="C109" s="12" t="str">
        <f aca="false">CHOOSE(WEEKDAY(B109,2),"Senin","Selasa","Rabu","Kamis","Jumat","Sabtu","Minggu")</f>
        <v>Rabu</v>
      </c>
      <c r="D109" s="14" t="str">
        <f aca="false">Panduan!$B$7</f>
        <v>20:30</v>
      </c>
      <c r="E109" s="18" t="s">
        <v>59</v>
      </c>
      <c r="F109" s="12" t="s">
        <v>50</v>
      </c>
      <c r="G109" s="12" t="s">
        <v>138</v>
      </c>
      <c r="H109" s="12" t="str">
        <f aca="false">IFERROR(INDEX('Daftar Konten'!$D:$D,MATCH(G109,'Daftar Konten'!$A:$A,0)),"")</f>
        <v>Masa percobaan: hal yang perlu jelas</v>
      </c>
      <c r="I109" s="12" t="s">
        <v>73</v>
      </c>
      <c r="J109" s="12" t="str">
        <f aca="false">IFERROR(INDEX('Daftar Konten'!$G:$G,MATCH(G109,'Daftar Konten'!$A:$A,0)),"")</f>
        <v>Masa percobaan: hal yang perlu jelas Setuju? Tulis di komentar.</v>
      </c>
      <c r="K109" s="12" t="s">
        <v>60</v>
      </c>
      <c r="L109" s="16" t="s">
        <v>54</v>
      </c>
    </row>
    <row r="110" customFormat="false" ht="23.85" hidden="false" customHeight="false" outlineLevel="0" collapsed="false">
      <c r="A110" s="12" t="n">
        <v>106</v>
      </c>
      <c r="B110" s="13" t="n">
        <f aca="false">Panduan!$B$4+45</f>
        <v>46359</v>
      </c>
      <c r="C110" s="12" t="str">
        <f aca="false">CHOOSE(WEEKDAY(B110,2),"Senin","Selasa","Rabu","Kamis","Jumat","Sabtu","Minggu")</f>
        <v>Kamis</v>
      </c>
      <c r="D110" s="14" t="str">
        <f aca="false">Panduan!$B$5</f>
        <v>12:00</v>
      </c>
      <c r="E110" s="15" t="s">
        <v>26</v>
      </c>
      <c r="F110" s="12" t="s">
        <v>50</v>
      </c>
      <c r="G110" s="12" t="s">
        <v>140</v>
      </c>
      <c r="H110" s="12" t="str">
        <f aca="false">IFERROR(INDEX('Daftar Konten'!$D:$D,MATCH(G110,'Daftar Konten'!$A:$A,0)),"")</f>
        <v>5 cara mengurangi karyawan sering telat</v>
      </c>
      <c r="I110" s="12" t="s">
        <v>52</v>
      </c>
      <c r="J110" s="12" t="str">
        <f aca="false">IFERROR(INDEX('Daftar Konten'!$G:$G,MATCH(G110,'Daftar Konten'!$A:$A,0)),"")</f>
        <v>Lima cara mengurangi karyawan yang sering telat. Mana yang sudah kamu coba? Tulis di komentar.</v>
      </c>
      <c r="K110" s="12" t="s">
        <v>53</v>
      </c>
      <c r="L110" s="16" t="s">
        <v>54</v>
      </c>
    </row>
    <row r="111" customFormat="false" ht="23.85" hidden="false" customHeight="false" outlineLevel="0" collapsed="false">
      <c r="A111" s="12" t="n">
        <v>107</v>
      </c>
      <c r="B111" s="13" t="n">
        <f aca="false">Panduan!$B$4+45</f>
        <v>46359</v>
      </c>
      <c r="C111" s="12" t="str">
        <f aca="false">CHOOSE(WEEKDAY(B111,2),"Senin","Selasa","Rabu","Kamis","Jumat","Sabtu","Minggu")</f>
        <v>Kamis</v>
      </c>
      <c r="D111" s="14" t="str">
        <f aca="false">Panduan!$B$7</f>
        <v>20:30</v>
      </c>
      <c r="E111" s="18" t="s">
        <v>59</v>
      </c>
      <c r="F111" s="12" t="s">
        <v>50</v>
      </c>
      <c r="G111" s="12" t="s">
        <v>140</v>
      </c>
      <c r="H111" s="12" t="str">
        <f aca="false">IFERROR(INDEX('Daftar Konten'!$D:$D,MATCH(G111,'Daftar Konten'!$A:$A,0)),"")</f>
        <v>5 cara mengurangi karyawan sering telat</v>
      </c>
      <c r="I111" s="12" t="s">
        <v>52</v>
      </c>
      <c r="J111" s="12" t="str">
        <f aca="false">IFERROR(INDEX('Daftar Konten'!$G:$G,MATCH(G111,'Daftar Konten'!$A:$A,0)),"")</f>
        <v>Lima cara mengurangi karyawan yang sering telat. Mana yang sudah kamu coba? Tulis di komentar.</v>
      </c>
      <c r="K111" s="12" t="s">
        <v>60</v>
      </c>
      <c r="L111" s="16" t="s">
        <v>54</v>
      </c>
    </row>
    <row r="112" customFormat="false" ht="15" hidden="false" customHeight="false" outlineLevel="0" collapsed="false">
      <c r="A112" s="12" t="n">
        <v>108</v>
      </c>
      <c r="B112" s="13" t="n">
        <f aca="false">Panduan!$B$4+46</f>
        <v>46360</v>
      </c>
      <c r="C112" s="12" t="str">
        <f aca="false">CHOOSE(WEEKDAY(B112,2),"Senin","Selasa","Rabu","Kamis","Jumat","Sabtu","Minggu")</f>
        <v>Jumat</v>
      </c>
      <c r="D112" s="14" t="str">
        <f aca="false">Panduan!$B$5</f>
        <v>12:00</v>
      </c>
      <c r="E112" s="15" t="s">
        <v>26</v>
      </c>
      <c r="F112" s="12" t="s">
        <v>50</v>
      </c>
      <c r="G112" s="12" t="s">
        <v>141</v>
      </c>
      <c r="H112" s="12" t="str">
        <f aca="false">IFERROR(INDEX('Daftar Konten'!$D:$D,MATCH(G112,'Daftar Konten'!$A:$A,0)),"")</f>
        <v>Exit interview: 4 pertanyaan penting</v>
      </c>
      <c r="I112" s="12" t="s">
        <v>52</v>
      </c>
      <c r="J112" s="12" t="str">
        <f aca="false">IFERROR(INDEX('Daftar Konten'!$G:$G,MATCH(G112,'Daftar Konten'!$A:$A,0)),"")</f>
        <v>Exit interview: 4 pertanyaan penting Setuju? Tulis di komentar.</v>
      </c>
      <c r="K112" s="12" t="s">
        <v>53</v>
      </c>
      <c r="L112" s="16" t="s">
        <v>54</v>
      </c>
    </row>
    <row r="113" customFormat="false" ht="23.85" hidden="false" customHeight="false" outlineLevel="0" collapsed="false">
      <c r="A113" s="12" t="n">
        <v>109</v>
      </c>
      <c r="B113" s="13" t="n">
        <f aca="false">Panduan!$B$4+46</f>
        <v>46360</v>
      </c>
      <c r="C113" s="12" t="str">
        <f aca="false">CHOOSE(WEEKDAY(B113,2),"Senin","Selasa","Rabu","Kamis","Jumat","Sabtu","Minggu")</f>
        <v>Jumat</v>
      </c>
      <c r="D113" s="14" t="str">
        <f aca="false">Panduan!$B$6</f>
        <v>19:00</v>
      </c>
      <c r="E113" s="17" t="s">
        <v>27</v>
      </c>
      <c r="F113" s="12" t="s">
        <v>64</v>
      </c>
      <c r="G113" s="12" t="s">
        <v>142</v>
      </c>
      <c r="H113" s="12" t="str">
        <f aca="false">IFERROR(INDEX('Daftar Konten'!$D:$D,MATCH(G113,'Daftar Konten'!$A:$A,0)),"")</f>
        <v>Dana pendidikan anak: mulai dari mana?</v>
      </c>
      <c r="I113" s="12" t="s">
        <v>66</v>
      </c>
      <c r="J113" s="12" t="str">
        <f aca="false">IFERROR(INDEX('Daftar Konten'!$G:$G,MATCH(G113,'Daftar Konten'!$A:$A,0)),"")</f>
        <v>Mulai menyiapkan dana pendidikan sejak dini. Angka contoh. Informasi umum.</v>
      </c>
      <c r="K113" s="12" t="s">
        <v>58</v>
      </c>
      <c r="L113" s="16" t="s">
        <v>54</v>
      </c>
    </row>
    <row r="114" customFormat="false" ht="15" hidden="false" customHeight="false" outlineLevel="0" collapsed="false">
      <c r="A114" s="12" t="n">
        <v>110</v>
      </c>
      <c r="B114" s="13" t="n">
        <f aca="false">Panduan!$B$4+46</f>
        <v>46360</v>
      </c>
      <c r="C114" s="12" t="str">
        <f aca="false">CHOOSE(WEEKDAY(B114,2),"Senin","Selasa","Rabu","Kamis","Jumat","Sabtu","Minggu")</f>
        <v>Jumat</v>
      </c>
      <c r="D114" s="14" t="str">
        <f aca="false">Panduan!$B$7</f>
        <v>20:30</v>
      </c>
      <c r="E114" s="18" t="s">
        <v>59</v>
      </c>
      <c r="F114" s="12" t="s">
        <v>50</v>
      </c>
      <c r="G114" s="12" t="s">
        <v>141</v>
      </c>
      <c r="H114" s="12" t="str">
        <f aca="false">IFERROR(INDEX('Daftar Konten'!$D:$D,MATCH(G114,'Daftar Konten'!$A:$A,0)),"")</f>
        <v>Exit interview: 4 pertanyaan penting</v>
      </c>
      <c r="I114" s="12" t="s">
        <v>52</v>
      </c>
      <c r="J114" s="12" t="str">
        <f aca="false">IFERROR(INDEX('Daftar Konten'!$G:$G,MATCH(G114,'Daftar Konten'!$A:$A,0)),"")</f>
        <v>Exit interview: 4 pertanyaan penting Setuju? Tulis di komentar.</v>
      </c>
      <c r="K114" s="12" t="s">
        <v>60</v>
      </c>
      <c r="L114" s="16" t="s">
        <v>54</v>
      </c>
    </row>
    <row r="115" customFormat="false" ht="23.85" hidden="false" customHeight="false" outlineLevel="0" collapsed="false">
      <c r="A115" s="12" t="n">
        <v>111</v>
      </c>
      <c r="B115" s="13" t="n">
        <f aca="false">Panduan!$B$4+47</f>
        <v>46361</v>
      </c>
      <c r="C115" s="12" t="str">
        <f aca="false">CHOOSE(WEEKDAY(B115,2),"Senin","Selasa","Rabu","Kamis","Jumat","Sabtu","Minggu")</f>
        <v>Sabtu</v>
      </c>
      <c r="D115" s="14" t="str">
        <f aca="false">Panduan!$B$7</f>
        <v>20:30</v>
      </c>
      <c r="E115" s="18" t="s">
        <v>59</v>
      </c>
      <c r="F115" s="12" t="s">
        <v>50</v>
      </c>
      <c r="G115" s="12" t="s">
        <v>143</v>
      </c>
      <c r="H115" s="12" t="str">
        <f aca="false">IFERROR(INDEX('Daftar Konten'!$D:$D,MATCH(G115,'Daftar Konten'!$A:$A,0)),"")</f>
        <v>Surat peringatan dan surat keterangan, dibuat dari nol?</v>
      </c>
      <c r="I115" s="12" t="s">
        <v>76</v>
      </c>
      <c r="J115" s="12" t="str">
        <f aca="false">IFERROR(INDEX('Daftar Konten'!$G:$G,MATCH(G115,'Daftar Konten'!$A:$A,0)),"")</f>
        <v>Surat peringatan dan surat keterangan, dibuat dari nol? Setuju? Tulis di komentar.</v>
      </c>
      <c r="K115" s="12" t="s">
        <v>77</v>
      </c>
      <c r="L115" s="16" t="s">
        <v>54</v>
      </c>
    </row>
    <row r="116" customFormat="false" ht="15" hidden="false" customHeight="false" outlineLevel="0" collapsed="false">
      <c r="A116" s="12" t="n">
        <v>112</v>
      </c>
      <c r="B116" s="13" t="n">
        <f aca="false">Panduan!$B$4+48</f>
        <v>46362</v>
      </c>
      <c r="C116" s="12" t="str">
        <f aca="false">CHOOSE(WEEKDAY(B116,2),"Senin","Selasa","Rabu","Kamis","Jumat","Sabtu","Minggu")</f>
        <v>Minggu</v>
      </c>
      <c r="D116" s="14" t="str">
        <f aca="false">Panduan!$B$6</f>
        <v>19:00</v>
      </c>
      <c r="E116" s="17" t="s">
        <v>27</v>
      </c>
      <c r="F116" s="12" t="s">
        <v>64</v>
      </c>
      <c r="G116" s="12" t="s">
        <v>144</v>
      </c>
      <c r="H116" s="12" t="str">
        <f aca="false">IFERROR(INDEX('Daftar Konten'!$D:$D,MATCH(G116,'Daftar Konten'!$A:$A,0)),"")</f>
        <v>Inbox penuh? Cara realistis merapikannya</v>
      </c>
      <c r="I116" s="12" t="s">
        <v>66</v>
      </c>
      <c r="J116" s="12" t="str">
        <f aca="false">IFERROR(INDEX('Daftar Konten'!$G:$G,MATCH(G116,'Daftar Konten'!$A:$A,0)),"")</f>
        <v>Inbox zero itu tidak harus sempurna. Mulai dari tiga aturan sederhana.</v>
      </c>
      <c r="K116" s="12" t="s">
        <v>58</v>
      </c>
      <c r="L116" s="16" t="s">
        <v>54</v>
      </c>
    </row>
    <row r="117" customFormat="false" ht="15" hidden="false" customHeight="false" outlineLevel="0" collapsed="false">
      <c r="A117" s="12" t="n">
        <v>113</v>
      </c>
      <c r="B117" s="13" t="n">
        <f aca="false">Panduan!$B$4+48</f>
        <v>46362</v>
      </c>
      <c r="C117" s="12" t="str">
        <f aca="false">CHOOSE(WEEKDAY(B117,2),"Senin","Selasa","Rabu","Kamis","Jumat","Sabtu","Minggu")</f>
        <v>Minggu</v>
      </c>
      <c r="D117" s="14" t="str">
        <f aca="false">Panduan!$B$7</f>
        <v>20:30</v>
      </c>
      <c r="E117" s="18" t="s">
        <v>59</v>
      </c>
      <c r="F117" s="12" t="s">
        <v>50</v>
      </c>
      <c r="G117" s="12" t="s">
        <v>145</v>
      </c>
      <c r="H117" s="12" t="str">
        <f aca="false">IFERROR(INDEX('Daftar Konten'!$D:$D,MATCH(G117,'Daftar Konten'!$A:$A,0)),"")</f>
        <v>Data karyawan tersebar di 5 tempat?</v>
      </c>
      <c r="I117" s="12" t="s">
        <v>76</v>
      </c>
      <c r="J117" s="12" t="str">
        <f aca="false">IFERROR(INDEX('Daftar Konten'!$G:$G,MATCH(G117,'Daftar Konten'!$A:$A,0)),"")</f>
        <v>Data karyawan tersebar di 5 tempat? Setuju? Tulis di komentar.</v>
      </c>
      <c r="K117" s="12" t="s">
        <v>77</v>
      </c>
      <c r="L117" s="16" t="s">
        <v>54</v>
      </c>
    </row>
    <row r="118" customFormat="false" ht="23.85" hidden="false" customHeight="false" outlineLevel="0" collapsed="false">
      <c r="A118" s="12" t="n">
        <v>114</v>
      </c>
      <c r="B118" s="13" t="n">
        <f aca="false">Panduan!$B$4+49</f>
        <v>46363</v>
      </c>
      <c r="C118" s="12" t="str">
        <f aca="false">CHOOSE(WEEKDAY(B118,2),"Senin","Selasa","Rabu","Kamis","Jumat","Sabtu","Minggu")</f>
        <v>Senin</v>
      </c>
      <c r="D118" s="14" t="str">
        <f aca="false">Panduan!$B$5</f>
        <v>12:00</v>
      </c>
      <c r="E118" s="15" t="s">
        <v>26</v>
      </c>
      <c r="F118" s="12" t="s">
        <v>50</v>
      </c>
      <c r="G118" s="12" t="s">
        <v>146</v>
      </c>
      <c r="H118" s="12" t="str">
        <f aca="false">IFERROR(INDEX('Daftar Konten'!$D:$D,MATCH(G118,'Daftar Konten'!$A:$A,0)),"")</f>
        <v>HrCash cocok untuk usaha seperti apa?</v>
      </c>
      <c r="I118" s="12" t="s">
        <v>63</v>
      </c>
      <c r="J118" s="12" t="str">
        <f aca="false">IFERROR(INDEX('Daftar Konten'!$G:$G,MATCH(G118,'Daftar Konten'!$A:$A,0)),"")</f>
        <v>HrCash cocok untuk usaha kecil yang ingin tertata. Usahamu termasuk yang mana?</v>
      </c>
      <c r="K118" s="12" t="s">
        <v>53</v>
      </c>
      <c r="L118" s="16" t="s">
        <v>54</v>
      </c>
    </row>
    <row r="119" customFormat="false" ht="15" hidden="false" customHeight="false" outlineLevel="0" collapsed="false">
      <c r="A119" s="12" t="n">
        <v>115</v>
      </c>
      <c r="B119" s="13" t="n">
        <f aca="false">Panduan!$B$4+49</f>
        <v>46363</v>
      </c>
      <c r="C119" s="12" t="str">
        <f aca="false">CHOOSE(WEEKDAY(B119,2),"Senin","Selasa","Rabu","Kamis","Jumat","Sabtu","Minggu")</f>
        <v>Senin</v>
      </c>
      <c r="D119" s="14" t="str">
        <f aca="false">Panduan!$B$6</f>
        <v>19:00</v>
      </c>
      <c r="E119" s="17" t="s">
        <v>27</v>
      </c>
      <c r="F119" s="12" t="s">
        <v>64</v>
      </c>
      <c r="G119" s="12" t="s">
        <v>147</v>
      </c>
      <c r="H119" s="12" t="str">
        <f aca="false">IFERROR(INDEX('Daftar Konten'!$D:$D,MATCH(G119,'Daftar Konten'!$A:$A,0)),"")</f>
        <v/>
      </c>
      <c r="I119" s="12" t="s">
        <v>66</v>
      </c>
      <c r="J119" s="12" t="str">
        <f aca="false">IFERROR(INDEX('Daftar Konten'!$G:$G,MATCH(G119,'Daftar Konten'!$A:$A,0)),"")</f>
        <v/>
      </c>
      <c r="K119" s="12" t="s">
        <v>58</v>
      </c>
      <c r="L119" s="16" t="s">
        <v>54</v>
      </c>
    </row>
    <row r="120" customFormat="false" ht="23.85" hidden="false" customHeight="false" outlineLevel="0" collapsed="false">
      <c r="A120" s="12" t="n">
        <v>116</v>
      </c>
      <c r="B120" s="13" t="n">
        <f aca="false">Panduan!$B$4+49</f>
        <v>46363</v>
      </c>
      <c r="C120" s="12" t="str">
        <f aca="false">CHOOSE(WEEKDAY(B120,2),"Senin","Selasa","Rabu","Kamis","Jumat","Sabtu","Minggu")</f>
        <v>Senin</v>
      </c>
      <c r="D120" s="14" t="str">
        <f aca="false">Panduan!$B$7</f>
        <v>20:30</v>
      </c>
      <c r="E120" s="18" t="s">
        <v>59</v>
      </c>
      <c r="F120" s="12" t="s">
        <v>50</v>
      </c>
      <c r="G120" s="12" t="s">
        <v>146</v>
      </c>
      <c r="H120" s="12" t="str">
        <f aca="false">IFERROR(INDEX('Daftar Konten'!$D:$D,MATCH(G120,'Daftar Konten'!$A:$A,0)),"")</f>
        <v>HrCash cocok untuk usaha seperti apa?</v>
      </c>
      <c r="I120" s="12" t="s">
        <v>63</v>
      </c>
      <c r="J120" s="12" t="str">
        <f aca="false">IFERROR(INDEX('Daftar Konten'!$G:$G,MATCH(G120,'Daftar Konten'!$A:$A,0)),"")</f>
        <v>HrCash cocok untuk usaha kecil yang ingin tertata. Usahamu termasuk yang mana?</v>
      </c>
      <c r="K120" s="12" t="s">
        <v>60</v>
      </c>
      <c r="L120" s="16" t="s">
        <v>54</v>
      </c>
    </row>
    <row r="121" customFormat="false" ht="15" hidden="false" customHeight="false" outlineLevel="0" collapsed="false">
      <c r="A121" s="12" t="n">
        <v>117</v>
      </c>
      <c r="B121" s="13" t="n">
        <f aca="false">Panduan!$B$4+50</f>
        <v>46364</v>
      </c>
      <c r="C121" s="12" t="str">
        <f aca="false">CHOOSE(WEEKDAY(B121,2),"Senin","Selasa","Rabu","Kamis","Jumat","Sabtu","Minggu")</f>
        <v>Selasa</v>
      </c>
      <c r="D121" s="14" t="str">
        <f aca="false">Panduan!$B$5</f>
        <v>12:00</v>
      </c>
      <c r="E121" s="15" t="s">
        <v>26</v>
      </c>
      <c r="F121" s="12" t="s">
        <v>50</v>
      </c>
      <c r="G121" s="12" t="s">
        <v>148</v>
      </c>
      <c r="H121" s="12" t="str">
        <f aca="false">IFERROR(INDEX('Daftar Konten'!$D:$D,MATCH(G121,'Daftar Konten'!$A:$A,0)),"")</f>
        <v>Alasan telat paling populer</v>
      </c>
      <c r="I121" s="12" t="s">
        <v>63</v>
      </c>
      <c r="J121" s="12" t="str">
        <f aca="false">IFERROR(INDEX('Daftar Konten'!$G:$G,MATCH(G121,'Daftar Konten'!$A:$A,0)),"")</f>
        <v>Alasan telat paling populer Setuju? Tulis di komentar.</v>
      </c>
      <c r="K121" s="12" t="s">
        <v>53</v>
      </c>
      <c r="L121" s="16" t="s">
        <v>54</v>
      </c>
    </row>
    <row r="122" customFormat="false" ht="15" hidden="false" customHeight="false" outlineLevel="0" collapsed="false">
      <c r="A122" s="12" t="n">
        <v>118</v>
      </c>
      <c r="B122" s="13" t="n">
        <f aca="false">Panduan!$B$4+50</f>
        <v>46364</v>
      </c>
      <c r="C122" s="12" t="str">
        <f aca="false">CHOOSE(WEEKDAY(B122,2),"Senin","Selasa","Rabu","Kamis","Jumat","Sabtu","Minggu")</f>
        <v>Selasa</v>
      </c>
      <c r="D122" s="14" t="str">
        <f aca="false">Panduan!$B$7</f>
        <v>20:30</v>
      </c>
      <c r="E122" s="18" t="s">
        <v>59</v>
      </c>
      <c r="F122" s="12" t="s">
        <v>50</v>
      </c>
      <c r="G122" s="12" t="s">
        <v>148</v>
      </c>
      <c r="H122" s="12" t="str">
        <f aca="false">IFERROR(INDEX('Daftar Konten'!$D:$D,MATCH(G122,'Daftar Konten'!$A:$A,0)),"")</f>
        <v>Alasan telat paling populer</v>
      </c>
      <c r="I122" s="12" t="s">
        <v>63</v>
      </c>
      <c r="J122" s="12" t="str">
        <f aca="false">IFERROR(INDEX('Daftar Konten'!$G:$G,MATCH(G122,'Daftar Konten'!$A:$A,0)),"")</f>
        <v>Alasan telat paling populer Setuju? Tulis di komentar.</v>
      </c>
      <c r="K122" s="12" t="s">
        <v>60</v>
      </c>
      <c r="L122" s="16" t="s">
        <v>54</v>
      </c>
    </row>
    <row r="123" customFormat="false" ht="23.85" hidden="false" customHeight="false" outlineLevel="0" collapsed="false">
      <c r="A123" s="12" t="n">
        <v>119</v>
      </c>
      <c r="B123" s="13" t="n">
        <f aca="false">Panduan!$B$4+51</f>
        <v>46365</v>
      </c>
      <c r="C123" s="12" t="str">
        <f aca="false">CHOOSE(WEEKDAY(B123,2),"Senin","Selasa","Rabu","Kamis","Jumat","Sabtu","Minggu")</f>
        <v>Rabu</v>
      </c>
      <c r="D123" s="14" t="str">
        <f aca="false">Panduan!$B$5</f>
        <v>12:00</v>
      </c>
      <c r="E123" s="15" t="s">
        <v>26</v>
      </c>
      <c r="F123" s="12" t="s">
        <v>50</v>
      </c>
      <c r="G123" s="12" t="s">
        <v>149</v>
      </c>
      <c r="H123" s="12" t="str">
        <f aca="false">IFERROR(INDEX('Daftar Konten'!$D:$D,MATCH(G123,'Daftar Konten'!$A:$A,0)),"")</f>
        <v>Punya toko online? Tim gudang dan admin tetap tertata</v>
      </c>
      <c r="I123" s="12" t="s">
        <v>73</v>
      </c>
      <c r="J123" s="12" t="str">
        <f aca="false">IFERROR(INDEX('Daftar Konten'!$G:$G,MATCH(G123,'Daftar Konten'!$A:$A,0)),"")</f>
        <v>Punya toko online? Tim gudang dan admin tetap tertata Setuju? Tulis di komentar.</v>
      </c>
      <c r="K123" s="12" t="s">
        <v>53</v>
      </c>
      <c r="L123" s="16" t="s">
        <v>54</v>
      </c>
    </row>
    <row r="124" customFormat="false" ht="23.85" hidden="false" customHeight="false" outlineLevel="0" collapsed="false">
      <c r="A124" s="12" t="n">
        <v>120</v>
      </c>
      <c r="B124" s="13" t="n">
        <f aca="false">Panduan!$B$4+51</f>
        <v>46365</v>
      </c>
      <c r="C124" s="12" t="str">
        <f aca="false">CHOOSE(WEEKDAY(B124,2),"Senin","Selasa","Rabu","Kamis","Jumat","Sabtu","Minggu")</f>
        <v>Rabu</v>
      </c>
      <c r="D124" s="14" t="str">
        <f aca="false">Panduan!$B$6</f>
        <v>19:00</v>
      </c>
      <c r="E124" s="17" t="s">
        <v>27</v>
      </c>
      <c r="F124" s="12" t="s">
        <v>64</v>
      </c>
      <c r="G124" s="12" t="s">
        <v>150</v>
      </c>
      <c r="H124" s="12" t="str">
        <f aca="false">IFERROR(INDEX('Daftar Konten'!$D:$D,MATCH(G124,'Daftar Konten'!$A:$A,0)),"")</f>
        <v>Aturan 50/30/20 untuk gaji</v>
      </c>
      <c r="I124" s="12" t="s">
        <v>66</v>
      </c>
      <c r="J124" s="12" t="str">
        <f aca="false">IFERROR(INDEX('Daftar Konten'!$G:$G,MATCH(G124,'Daftar Konten'!$A:$A,0)),"")</f>
        <v>Bingung bagi gaji? Mulai dari aturan 50/30/20. Ini panduan awal, boleh disesuaikan dengan kondisimu. Simpan dulu, hitung nanti.</v>
      </c>
      <c r="K124" s="12" t="s">
        <v>58</v>
      </c>
      <c r="L124" s="16" t="s">
        <v>54</v>
      </c>
    </row>
    <row r="125" customFormat="false" ht="23.85" hidden="false" customHeight="false" outlineLevel="0" collapsed="false">
      <c r="A125" s="12" t="n">
        <v>121</v>
      </c>
      <c r="B125" s="13" t="n">
        <f aca="false">Panduan!$B$4+51</f>
        <v>46365</v>
      </c>
      <c r="C125" s="12" t="str">
        <f aca="false">CHOOSE(WEEKDAY(B125,2),"Senin","Selasa","Rabu","Kamis","Jumat","Sabtu","Minggu")</f>
        <v>Rabu</v>
      </c>
      <c r="D125" s="14" t="str">
        <f aca="false">Panduan!$B$7</f>
        <v>20:30</v>
      </c>
      <c r="E125" s="18" t="s">
        <v>59</v>
      </c>
      <c r="F125" s="12" t="s">
        <v>50</v>
      </c>
      <c r="G125" s="12" t="s">
        <v>149</v>
      </c>
      <c r="H125" s="12" t="str">
        <f aca="false">IFERROR(INDEX('Daftar Konten'!$D:$D,MATCH(G125,'Daftar Konten'!$A:$A,0)),"")</f>
        <v>Punya toko online? Tim gudang dan admin tetap tertata</v>
      </c>
      <c r="I125" s="12" t="s">
        <v>73</v>
      </c>
      <c r="J125" s="12" t="str">
        <f aca="false">IFERROR(INDEX('Daftar Konten'!$G:$G,MATCH(G125,'Daftar Konten'!$A:$A,0)),"")</f>
        <v>Punya toko online? Tim gudang dan admin tetap tertata Setuju? Tulis di komentar.</v>
      </c>
      <c r="K125" s="12" t="s">
        <v>60</v>
      </c>
      <c r="L125" s="16" t="s">
        <v>54</v>
      </c>
    </row>
    <row r="126" customFormat="false" ht="15" hidden="false" customHeight="false" outlineLevel="0" collapsed="false">
      <c r="A126" s="12" t="n">
        <v>122</v>
      </c>
      <c r="B126" s="13" t="n">
        <f aca="false">Panduan!$B$4+52</f>
        <v>46366</v>
      </c>
      <c r="C126" s="12" t="str">
        <f aca="false">CHOOSE(WEEKDAY(B126,2),"Senin","Selasa","Rabu","Kamis","Jumat","Sabtu","Minggu")</f>
        <v>Kamis</v>
      </c>
      <c r="D126" s="14" t="str">
        <f aca="false">Panduan!$B$5</f>
        <v>12:00</v>
      </c>
      <c r="E126" s="15" t="s">
        <v>26</v>
      </c>
      <c r="F126" s="12" t="s">
        <v>50</v>
      </c>
      <c r="G126" s="12" t="s">
        <v>151</v>
      </c>
      <c r="H126" s="12" t="str">
        <f aca="false">IFERROR(INDEX('Daftar Konten'!$D:$D,MATCH(G126,'Daftar Konten'!$A:$A,0)),"")</f>
        <v>Izin, sakit, cuti: bedakan pencatatannya</v>
      </c>
      <c r="I126" s="12" t="s">
        <v>73</v>
      </c>
      <c r="J126" s="12" t="str">
        <f aca="false">IFERROR(INDEX('Daftar Konten'!$G:$G,MATCH(G126,'Daftar Konten'!$A:$A,0)),"")</f>
        <v>Izin, sakit, cuti: bedakan pencatatannya Setuju? Tulis di komentar.</v>
      </c>
      <c r="K126" s="12" t="s">
        <v>53</v>
      </c>
      <c r="L126" s="16" t="s">
        <v>54</v>
      </c>
    </row>
    <row r="127" customFormat="false" ht="15" hidden="false" customHeight="false" outlineLevel="0" collapsed="false">
      <c r="A127" s="12" t="n">
        <v>123</v>
      </c>
      <c r="B127" s="13" t="n">
        <f aca="false">Panduan!$B$4+52</f>
        <v>46366</v>
      </c>
      <c r="C127" s="12" t="str">
        <f aca="false">CHOOSE(WEEKDAY(B127,2),"Senin","Selasa","Rabu","Kamis","Jumat","Sabtu","Minggu")</f>
        <v>Kamis</v>
      </c>
      <c r="D127" s="14" t="str">
        <f aca="false">Panduan!$B$7</f>
        <v>20:30</v>
      </c>
      <c r="E127" s="18" t="s">
        <v>59</v>
      </c>
      <c r="F127" s="12" t="s">
        <v>50</v>
      </c>
      <c r="G127" s="12" t="s">
        <v>151</v>
      </c>
      <c r="H127" s="12" t="str">
        <f aca="false">IFERROR(INDEX('Daftar Konten'!$D:$D,MATCH(G127,'Daftar Konten'!$A:$A,0)),"")</f>
        <v>Izin, sakit, cuti: bedakan pencatatannya</v>
      </c>
      <c r="I127" s="12" t="s">
        <v>73</v>
      </c>
      <c r="J127" s="12" t="str">
        <f aca="false">IFERROR(INDEX('Daftar Konten'!$G:$G,MATCH(G127,'Daftar Konten'!$A:$A,0)),"")</f>
        <v>Izin, sakit, cuti: bedakan pencatatannya Setuju? Tulis di komentar.</v>
      </c>
      <c r="K127" s="12" t="s">
        <v>60</v>
      </c>
      <c r="L127" s="16" t="s">
        <v>54</v>
      </c>
    </row>
    <row r="128" customFormat="false" ht="23.85" hidden="false" customHeight="false" outlineLevel="0" collapsed="false">
      <c r="A128" s="12" t="n">
        <v>124</v>
      </c>
      <c r="B128" s="13" t="n">
        <f aca="false">Panduan!$B$4+53</f>
        <v>46367</v>
      </c>
      <c r="C128" s="12" t="str">
        <f aca="false">CHOOSE(WEEKDAY(B128,2),"Senin","Selasa","Rabu","Kamis","Jumat","Sabtu","Minggu")</f>
        <v>Jumat</v>
      </c>
      <c r="D128" s="14" t="str">
        <f aca="false">Panduan!$B$5</f>
        <v>12:00</v>
      </c>
      <c r="E128" s="15" t="s">
        <v>26</v>
      </c>
      <c r="F128" s="12" t="s">
        <v>50</v>
      </c>
      <c r="G128" s="12" t="s">
        <v>152</v>
      </c>
      <c r="H128" s="12" t="str">
        <f aca="false">IFERROR(INDEX('Daftar Konten'!$D:$D,MATCH(G128,'Daftar Konten'!$A:$A,0)),"")</f>
        <v>Hari pertama karyawan baru: checklist owner</v>
      </c>
      <c r="I128" s="12" t="s">
        <v>52</v>
      </c>
      <c r="J128" s="12" t="str">
        <f aca="false">IFERROR(INDEX('Daftar Konten'!$G:$G,MATCH(G128,'Daftar Konten'!$A:$A,0)),"")</f>
        <v>Checklist owner untuk hari pertama karyawan baru. Simpan untuk dipakai saat merekrut.</v>
      </c>
      <c r="K128" s="12" t="s">
        <v>53</v>
      </c>
      <c r="L128" s="16" t="s">
        <v>54</v>
      </c>
    </row>
    <row r="129" customFormat="false" ht="15" hidden="false" customHeight="false" outlineLevel="0" collapsed="false">
      <c r="A129" s="12" t="n">
        <v>125</v>
      </c>
      <c r="B129" s="13" t="n">
        <f aca="false">Panduan!$B$4+53</f>
        <v>46367</v>
      </c>
      <c r="C129" s="12" t="str">
        <f aca="false">CHOOSE(WEEKDAY(B129,2),"Senin","Selasa","Rabu","Kamis","Jumat","Sabtu","Minggu")</f>
        <v>Jumat</v>
      </c>
      <c r="D129" s="14" t="str">
        <f aca="false">Panduan!$B$6</f>
        <v>19:00</v>
      </c>
      <c r="E129" s="17" t="s">
        <v>27</v>
      </c>
      <c r="F129" s="12" t="s">
        <v>64</v>
      </c>
      <c r="G129" s="12" t="s">
        <v>153</v>
      </c>
      <c r="H129" s="12" t="str">
        <f aca="false">IFERROR(INDEX('Daftar Konten'!$D:$D,MATCH(G129,'Daftar Konten'!$A:$A,0)),"")</f>
        <v>Mitos: diskon besar pasti hemat</v>
      </c>
      <c r="I129" s="12" t="s">
        <v>66</v>
      </c>
      <c r="J129" s="12" t="str">
        <f aca="false">IFERROR(INDEX('Daftar Konten'!$G:$G,MATCH(G129,'Daftar Konten'!$A:$A,0)),"")</f>
        <v>Diskon besar belum tentu hemat. Beli yang memang dibutuhkan.</v>
      </c>
      <c r="K129" s="12" t="s">
        <v>58</v>
      </c>
      <c r="L129" s="16" t="s">
        <v>54</v>
      </c>
    </row>
    <row r="130" customFormat="false" ht="23.85" hidden="false" customHeight="false" outlineLevel="0" collapsed="false">
      <c r="A130" s="12" t="n">
        <v>126</v>
      </c>
      <c r="B130" s="13" t="n">
        <f aca="false">Panduan!$B$4+53</f>
        <v>46367</v>
      </c>
      <c r="C130" s="12" t="str">
        <f aca="false">CHOOSE(WEEKDAY(B130,2),"Senin","Selasa","Rabu","Kamis","Jumat","Sabtu","Minggu")</f>
        <v>Jumat</v>
      </c>
      <c r="D130" s="14" t="str">
        <f aca="false">Panduan!$B$7</f>
        <v>20:30</v>
      </c>
      <c r="E130" s="18" t="s">
        <v>59</v>
      </c>
      <c r="F130" s="12" t="s">
        <v>50</v>
      </c>
      <c r="G130" s="12" t="s">
        <v>152</v>
      </c>
      <c r="H130" s="12" t="str">
        <f aca="false">IFERROR(INDEX('Daftar Konten'!$D:$D,MATCH(G130,'Daftar Konten'!$A:$A,0)),"")</f>
        <v>Hari pertama karyawan baru: checklist owner</v>
      </c>
      <c r="I130" s="12" t="s">
        <v>52</v>
      </c>
      <c r="J130" s="12" t="str">
        <f aca="false">IFERROR(INDEX('Daftar Konten'!$G:$G,MATCH(G130,'Daftar Konten'!$A:$A,0)),"")</f>
        <v>Checklist owner untuk hari pertama karyawan baru. Simpan untuk dipakai saat merekrut.</v>
      </c>
      <c r="K130" s="12" t="s">
        <v>60</v>
      </c>
      <c r="L130" s="16" t="s">
        <v>54</v>
      </c>
    </row>
    <row r="131" customFormat="false" ht="15" hidden="false" customHeight="false" outlineLevel="0" collapsed="false">
      <c r="A131" s="12" t="n">
        <v>127</v>
      </c>
      <c r="B131" s="13" t="n">
        <f aca="false">Panduan!$B$4+54</f>
        <v>46368</v>
      </c>
      <c r="C131" s="12" t="str">
        <f aca="false">CHOOSE(WEEKDAY(B131,2),"Senin","Selasa","Rabu","Kamis","Jumat","Sabtu","Minggu")</f>
        <v>Sabtu</v>
      </c>
      <c r="D131" s="14" t="str">
        <f aca="false">Panduan!$B$7</f>
        <v>20:30</v>
      </c>
      <c r="E131" s="18" t="s">
        <v>59</v>
      </c>
      <c r="F131" s="12" t="s">
        <v>50</v>
      </c>
      <c r="G131" s="12" t="s">
        <v>154</v>
      </c>
      <c r="H131" s="12" t="str">
        <f aca="false">IFERROR(INDEX('Daftar Konten'!$D:$D,MATCH(G131,'Daftar Konten'!$A:$A,0)),"")</f>
        <v>Lupa PIN? Tenang, ada jalannya.</v>
      </c>
      <c r="I131" s="12" t="s">
        <v>76</v>
      </c>
      <c r="J131" s="12" t="str">
        <f aca="false">IFERROR(INDEX('Daftar Konten'!$G:$G,MATCH(G131,'Daftar Konten'!$A:$A,0)),"")</f>
        <v>Lupa PIN? Tenang, ada jalannya. Setuju? Tulis di komentar.</v>
      </c>
      <c r="K131" s="12" t="s">
        <v>77</v>
      </c>
      <c r="L131" s="16" t="s">
        <v>54</v>
      </c>
    </row>
    <row r="132" customFormat="false" ht="23.85" hidden="false" customHeight="false" outlineLevel="0" collapsed="false">
      <c r="A132" s="12" t="n">
        <v>128</v>
      </c>
      <c r="B132" s="13" t="n">
        <f aca="false">Panduan!$B$4+55</f>
        <v>46369</v>
      </c>
      <c r="C132" s="12" t="str">
        <f aca="false">CHOOSE(WEEKDAY(B132,2),"Senin","Selasa","Rabu","Kamis","Jumat","Sabtu","Minggu")</f>
        <v>Minggu</v>
      </c>
      <c r="D132" s="14" t="str">
        <f aca="false">Panduan!$B$6</f>
        <v>19:00</v>
      </c>
      <c r="E132" s="17" t="s">
        <v>27</v>
      </c>
      <c r="F132" s="12" t="s">
        <v>64</v>
      </c>
      <c r="G132" s="12" t="s">
        <v>155</v>
      </c>
      <c r="H132" s="12" t="str">
        <f aca="false">IFERROR(INDEX('Daftar Konten'!$D:$D,MATCH(G132,'Daftar Konten'!$A:$A,0)),"")</f>
        <v>Soft life dengan budget biasa</v>
      </c>
      <c r="I132" s="12" t="s">
        <v>66</v>
      </c>
      <c r="J132" s="12" t="str">
        <f aca="false">IFERROR(INDEX('Daftar Konten'!$G:$G,MATCH(G132,'Daftar Konten'!$A:$A,0)),"")</f>
        <v>Soft life tidak harus mahal. Mulai dari kebiasaan kecil yang bikin hidup lebih tenang.</v>
      </c>
      <c r="K132" s="12" t="s">
        <v>58</v>
      </c>
      <c r="L132" s="16" t="s">
        <v>54</v>
      </c>
    </row>
    <row r="133" customFormat="false" ht="23.85" hidden="false" customHeight="false" outlineLevel="0" collapsed="false">
      <c r="A133" s="12" t="n">
        <v>129</v>
      </c>
      <c r="B133" s="13" t="n">
        <f aca="false">Panduan!$B$4+55</f>
        <v>46369</v>
      </c>
      <c r="C133" s="12" t="str">
        <f aca="false">CHOOSE(WEEKDAY(B133,2),"Senin","Selasa","Rabu","Kamis","Jumat","Sabtu","Minggu")</f>
        <v>Minggu</v>
      </c>
      <c r="D133" s="14" t="str">
        <f aca="false">Panduan!$B$7</f>
        <v>20:30</v>
      </c>
      <c r="E133" s="18" t="s">
        <v>59</v>
      </c>
      <c r="F133" s="12" t="s">
        <v>50</v>
      </c>
      <c r="G133" s="12" t="s">
        <v>156</v>
      </c>
      <c r="H133" s="12" t="str">
        <f aca="false">IFERROR(INDEX('Daftar Konten'!$D:$D,MATCH(G133,'Daftar Konten'!$A:$A,0)),"")</f>
        <v>Antre sidik jari jam 8 pagi? Cukup HP masing-masing.</v>
      </c>
      <c r="I133" s="12" t="s">
        <v>76</v>
      </c>
      <c r="J133" s="12" t="str">
        <f aca="false">IFERROR(INDEX('Daftar Konten'!$G:$G,MATCH(G133,'Daftar Konten'!$A:$A,0)),"")</f>
        <v>Antre sidik jari jam 8 pagi? Cukup HP masing-masing. Setuju? Tulis di komentar.</v>
      </c>
      <c r="K133" s="12" t="s">
        <v>77</v>
      </c>
      <c r="L133" s="16" t="s">
        <v>54</v>
      </c>
    </row>
  </sheetData>
  <autoFilter ref="A4:L133"/>
  <dataValidations count="1">
    <dataValidation allowBlank="false" errorStyle="stop" operator="between" showDropDown="false" showErrorMessage="false" showInputMessage="false" sqref="L5:L193" type="list">
      <formula1>"Belum,Terjadwal,Terposting"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52"/>
    <col collapsed="false" customWidth="true" hidden="false" outlineLevel="0" max="4" min="4" style="0" width="44"/>
    <col collapsed="false" customWidth="true" hidden="false" outlineLevel="0" max="6" min="5" style="0" width="12"/>
    <col collapsed="false" customWidth="true" hidden="false" outlineLevel="0" max="7" min="7" style="0" width="60"/>
    <col collapsed="false" customWidth="true" hidden="false" outlineLevel="0" max="8" min="8" style="0" width="34"/>
    <col collapsed="false" customWidth="true" hidden="false" outlineLevel="0" max="9" min="9" style="0" width="12"/>
  </cols>
  <sheetData>
    <row r="1" customFormat="false" ht="23.85" hidden="false" customHeight="false" outlineLevel="0" collapsed="false">
      <c r="A1" s="11" t="s">
        <v>44</v>
      </c>
      <c r="B1" s="11" t="s">
        <v>157</v>
      </c>
      <c r="C1" s="11" t="s">
        <v>158</v>
      </c>
      <c r="D1" s="11" t="s">
        <v>45</v>
      </c>
      <c r="E1" s="11" t="s">
        <v>159</v>
      </c>
      <c r="F1" s="11" t="s">
        <v>160</v>
      </c>
      <c r="G1" s="11" t="s">
        <v>47</v>
      </c>
      <c r="H1" s="11" t="s">
        <v>48</v>
      </c>
      <c r="I1" s="11" t="s">
        <v>161</v>
      </c>
    </row>
    <row r="2" customFormat="false" ht="23.85" hidden="false" customHeight="false" outlineLevel="0" collapsed="false">
      <c r="A2" s="12" t="s">
        <v>162</v>
      </c>
      <c r="B2" s="12" t="s">
        <v>163</v>
      </c>
      <c r="C2" s="12" t="s">
        <v>164</v>
      </c>
      <c r="D2" s="12" t="s">
        <v>165</v>
      </c>
      <c r="E2" s="12" t="s">
        <v>166</v>
      </c>
      <c r="F2" s="12" t="s">
        <v>167</v>
      </c>
      <c r="G2" s="12" t="s">
        <v>168</v>
      </c>
      <c r="H2" s="12" t="s">
        <v>169</v>
      </c>
      <c r="I2" s="19" t="str">
        <f aca="false">IF(COUNTIF('Jadwal 8 Minggu'!$G$5:$G$400,A2)&gt;0,"Ya","Belum")</f>
        <v>Belum</v>
      </c>
    </row>
    <row r="3" customFormat="false" ht="23.85" hidden="false" customHeight="false" outlineLevel="0" collapsed="false">
      <c r="A3" s="12" t="s">
        <v>170</v>
      </c>
      <c r="B3" s="12" t="s">
        <v>163</v>
      </c>
      <c r="C3" s="12" t="s">
        <v>171</v>
      </c>
      <c r="D3" s="12" t="s">
        <v>172</v>
      </c>
      <c r="E3" s="12" t="s">
        <v>166</v>
      </c>
      <c r="F3" s="12" t="s">
        <v>167</v>
      </c>
      <c r="G3" s="12" t="s">
        <v>173</v>
      </c>
      <c r="H3" s="12" t="s">
        <v>169</v>
      </c>
      <c r="I3" s="19" t="str">
        <f aca="false">IF(COUNTIF('Jadwal 8 Minggu'!$G$5:$G$400,A3)&gt;0,"Ya","Belum")</f>
        <v>Belum</v>
      </c>
    </row>
    <row r="4" customFormat="false" ht="23.85" hidden="false" customHeight="false" outlineLevel="0" collapsed="false">
      <c r="A4" s="12" t="s">
        <v>174</v>
      </c>
      <c r="B4" s="12" t="s">
        <v>163</v>
      </c>
      <c r="C4" s="12" t="s">
        <v>175</v>
      </c>
      <c r="D4" s="12" t="s">
        <v>176</v>
      </c>
      <c r="E4" s="12" t="s">
        <v>166</v>
      </c>
      <c r="F4" s="12" t="s">
        <v>167</v>
      </c>
      <c r="G4" s="12" t="s">
        <v>177</v>
      </c>
      <c r="H4" s="12" t="s">
        <v>169</v>
      </c>
      <c r="I4" s="19" t="str">
        <f aca="false">IF(COUNTIF('Jadwal 8 Minggu'!$G$5:$G$400,A4)&gt;0,"Ya","Belum")</f>
        <v>Belum</v>
      </c>
    </row>
    <row r="5" customFormat="false" ht="23.85" hidden="false" customHeight="false" outlineLevel="0" collapsed="false">
      <c r="A5" s="12" t="s">
        <v>178</v>
      </c>
      <c r="B5" s="12" t="s">
        <v>163</v>
      </c>
      <c r="C5" s="12" t="s">
        <v>179</v>
      </c>
      <c r="D5" s="12" t="s">
        <v>180</v>
      </c>
      <c r="E5" s="12" t="s">
        <v>166</v>
      </c>
      <c r="F5" s="12" t="s">
        <v>167</v>
      </c>
      <c r="G5" s="12" t="s">
        <v>181</v>
      </c>
      <c r="H5" s="12" t="s">
        <v>169</v>
      </c>
      <c r="I5" s="19" t="str">
        <f aca="false">IF(COUNTIF('Jadwal 8 Minggu'!$G$5:$G$400,A5)&gt;0,"Ya","Belum")</f>
        <v>Belum</v>
      </c>
    </row>
    <row r="6" customFormat="false" ht="23.85" hidden="false" customHeight="false" outlineLevel="0" collapsed="false">
      <c r="A6" s="12" t="s">
        <v>182</v>
      </c>
      <c r="B6" s="12" t="s">
        <v>163</v>
      </c>
      <c r="C6" s="12" t="s">
        <v>183</v>
      </c>
      <c r="D6" s="12" t="s">
        <v>184</v>
      </c>
      <c r="E6" s="12" t="s">
        <v>166</v>
      </c>
      <c r="F6" s="12" t="s">
        <v>167</v>
      </c>
      <c r="G6" s="12" t="s">
        <v>185</v>
      </c>
      <c r="H6" s="12" t="s">
        <v>169</v>
      </c>
      <c r="I6" s="19" t="str">
        <f aca="false">IF(COUNTIF('Jadwal 8 Minggu'!$G$5:$G$400,A6)&gt;0,"Ya","Belum")</f>
        <v>Belum</v>
      </c>
    </row>
    <row r="7" customFormat="false" ht="23.85" hidden="false" customHeight="false" outlineLevel="0" collapsed="false">
      <c r="A7" s="12" t="s">
        <v>186</v>
      </c>
      <c r="B7" s="12" t="s">
        <v>163</v>
      </c>
      <c r="C7" s="12" t="s">
        <v>187</v>
      </c>
      <c r="D7" s="12" t="s">
        <v>188</v>
      </c>
      <c r="E7" s="12" t="s">
        <v>166</v>
      </c>
      <c r="F7" s="12" t="s">
        <v>167</v>
      </c>
      <c r="G7" s="12" t="s">
        <v>189</v>
      </c>
      <c r="H7" s="12" t="s">
        <v>169</v>
      </c>
      <c r="I7" s="19" t="str">
        <f aca="false">IF(COUNTIF('Jadwal 8 Minggu'!$G$5:$G$400,A7)&gt;0,"Ya","Belum")</f>
        <v>Belum</v>
      </c>
    </row>
    <row r="8" customFormat="false" ht="23.85" hidden="false" customHeight="false" outlineLevel="0" collapsed="false">
      <c r="A8" s="12" t="s">
        <v>190</v>
      </c>
      <c r="B8" s="12" t="s">
        <v>163</v>
      </c>
      <c r="C8" s="12" t="s">
        <v>191</v>
      </c>
      <c r="D8" s="12" t="s">
        <v>192</v>
      </c>
      <c r="E8" s="12" t="s">
        <v>166</v>
      </c>
      <c r="F8" s="12" t="s">
        <v>167</v>
      </c>
      <c r="G8" s="12" t="s">
        <v>193</v>
      </c>
      <c r="H8" s="12" t="s">
        <v>169</v>
      </c>
      <c r="I8" s="19" t="str">
        <f aca="false">IF(COUNTIF('Jadwal 8 Minggu'!$G$5:$G$400,A8)&gt;0,"Ya","Belum")</f>
        <v>Belum</v>
      </c>
    </row>
    <row r="9" customFormat="false" ht="23.85" hidden="false" customHeight="false" outlineLevel="0" collapsed="false">
      <c r="A9" s="12" t="s">
        <v>194</v>
      </c>
      <c r="B9" s="12" t="s">
        <v>163</v>
      </c>
      <c r="C9" s="12" t="s">
        <v>195</v>
      </c>
      <c r="D9" s="12" t="s">
        <v>196</v>
      </c>
      <c r="E9" s="12" t="s">
        <v>166</v>
      </c>
      <c r="F9" s="12" t="s">
        <v>167</v>
      </c>
      <c r="G9" s="12" t="s">
        <v>197</v>
      </c>
      <c r="H9" s="12" t="s">
        <v>169</v>
      </c>
      <c r="I9" s="19" t="str">
        <f aca="false">IF(COUNTIF('Jadwal 8 Minggu'!$G$5:$G$400,A9)&gt;0,"Ya","Belum")</f>
        <v>Belum</v>
      </c>
    </row>
    <row r="10" customFormat="false" ht="23.85" hidden="false" customHeight="false" outlineLevel="0" collapsed="false">
      <c r="A10" s="12" t="s">
        <v>198</v>
      </c>
      <c r="B10" s="12" t="s">
        <v>163</v>
      </c>
      <c r="C10" s="12" t="s">
        <v>199</v>
      </c>
      <c r="D10" s="12" t="s">
        <v>200</v>
      </c>
      <c r="E10" s="12" t="s">
        <v>166</v>
      </c>
      <c r="F10" s="12" t="s">
        <v>167</v>
      </c>
      <c r="G10" s="12" t="s">
        <v>201</v>
      </c>
      <c r="H10" s="12" t="s">
        <v>169</v>
      </c>
      <c r="I10" s="19" t="str">
        <f aca="false">IF(COUNTIF('Jadwal 8 Minggu'!$G$5:$G$400,A10)&gt;0,"Ya","Belum")</f>
        <v>Belum</v>
      </c>
    </row>
    <row r="11" customFormat="false" ht="23.85" hidden="false" customHeight="false" outlineLevel="0" collapsed="false">
      <c r="A11" s="12" t="s">
        <v>202</v>
      </c>
      <c r="B11" s="12" t="s">
        <v>163</v>
      </c>
      <c r="C11" s="12" t="s">
        <v>203</v>
      </c>
      <c r="D11" s="12" t="s">
        <v>204</v>
      </c>
      <c r="E11" s="12" t="s">
        <v>166</v>
      </c>
      <c r="F11" s="12" t="s">
        <v>167</v>
      </c>
      <c r="G11" s="12" t="s">
        <v>205</v>
      </c>
      <c r="H11" s="12" t="s">
        <v>169</v>
      </c>
      <c r="I11" s="19" t="str">
        <f aca="false">IF(COUNTIF('Jadwal 8 Minggu'!$G$5:$G$400,A11)&gt;0,"Ya","Belum")</f>
        <v>Belum</v>
      </c>
    </row>
    <row r="12" customFormat="false" ht="15" hidden="false" customHeight="false" outlineLevel="0" collapsed="false">
      <c r="A12" s="12" t="s">
        <v>75</v>
      </c>
      <c r="B12" s="12" t="s">
        <v>206</v>
      </c>
      <c r="C12" s="12" t="s">
        <v>207</v>
      </c>
      <c r="D12" s="12" t="s">
        <v>208</v>
      </c>
      <c r="E12" s="12" t="s">
        <v>209</v>
      </c>
      <c r="F12" s="12" t="s">
        <v>210</v>
      </c>
      <c r="G12" s="12" t="s">
        <v>211</v>
      </c>
      <c r="H12" s="12" t="s">
        <v>212</v>
      </c>
      <c r="I12" s="19" t="str">
        <f aca="false">IF(COUNTIF('Jadwal 8 Minggu'!$G$5:$G$400,A12)&gt;0,"Ya","Belum")</f>
        <v>Ya</v>
      </c>
    </row>
    <row r="13" customFormat="false" ht="23.85" hidden="false" customHeight="false" outlineLevel="0" collapsed="false">
      <c r="A13" s="12" t="s">
        <v>213</v>
      </c>
      <c r="B13" s="12" t="s">
        <v>206</v>
      </c>
      <c r="C13" s="12" t="s">
        <v>214</v>
      </c>
      <c r="D13" s="12" t="s">
        <v>215</v>
      </c>
      <c r="E13" s="12" t="s">
        <v>216</v>
      </c>
      <c r="F13" s="12" t="s">
        <v>210</v>
      </c>
      <c r="G13" s="12" t="s">
        <v>217</v>
      </c>
      <c r="H13" s="12" t="s">
        <v>218</v>
      </c>
      <c r="I13" s="19" t="str">
        <f aca="false">IF(COUNTIF('Jadwal 8 Minggu'!$G$5:$G$400,A13)&gt;0,"Ya","Belum")</f>
        <v>Belum</v>
      </c>
    </row>
    <row r="14" customFormat="false" ht="23.85" hidden="false" customHeight="false" outlineLevel="0" collapsed="false">
      <c r="A14" s="12" t="s">
        <v>219</v>
      </c>
      <c r="B14" s="12" t="s">
        <v>206</v>
      </c>
      <c r="C14" s="12" t="s">
        <v>220</v>
      </c>
      <c r="D14" s="12" t="s">
        <v>221</v>
      </c>
      <c r="E14" s="12" t="s">
        <v>216</v>
      </c>
      <c r="F14" s="12" t="s">
        <v>210</v>
      </c>
      <c r="G14" s="12" t="s">
        <v>222</v>
      </c>
      <c r="H14" s="12" t="s">
        <v>218</v>
      </c>
      <c r="I14" s="19" t="str">
        <f aca="false">IF(COUNTIF('Jadwal 8 Minggu'!$G$5:$G$400,A14)&gt;0,"Ya","Belum")</f>
        <v>Belum</v>
      </c>
    </row>
    <row r="15" customFormat="false" ht="15" hidden="false" customHeight="false" outlineLevel="0" collapsed="false">
      <c r="A15" s="12" t="s">
        <v>223</v>
      </c>
      <c r="B15" s="12" t="s">
        <v>206</v>
      </c>
      <c r="C15" s="12" t="s">
        <v>224</v>
      </c>
      <c r="D15" s="12" t="s">
        <v>225</v>
      </c>
      <c r="E15" s="12" t="s">
        <v>209</v>
      </c>
      <c r="F15" s="12" t="s">
        <v>210</v>
      </c>
      <c r="G15" s="12" t="s">
        <v>226</v>
      </c>
      <c r="H15" s="12" t="s">
        <v>212</v>
      </c>
      <c r="I15" s="19" t="str">
        <f aca="false">IF(COUNTIF('Jadwal 8 Minggu'!$G$5:$G$400,A15)&gt;0,"Ya","Belum")</f>
        <v>Belum</v>
      </c>
    </row>
    <row r="16" customFormat="false" ht="23.85" hidden="false" customHeight="false" outlineLevel="0" collapsed="false">
      <c r="A16" s="12" t="s">
        <v>79</v>
      </c>
      <c r="B16" s="12" t="s">
        <v>206</v>
      </c>
      <c r="C16" s="12" t="s">
        <v>227</v>
      </c>
      <c r="D16" s="12" t="s">
        <v>228</v>
      </c>
      <c r="E16" s="12" t="s">
        <v>209</v>
      </c>
      <c r="F16" s="12" t="s">
        <v>210</v>
      </c>
      <c r="G16" s="12" t="s">
        <v>229</v>
      </c>
      <c r="H16" s="12" t="s">
        <v>212</v>
      </c>
      <c r="I16" s="19" t="str">
        <f aca="false">IF(COUNTIF('Jadwal 8 Minggu'!$G$5:$G$400,A16)&gt;0,"Ya","Belum")</f>
        <v>Ya</v>
      </c>
    </row>
    <row r="17" customFormat="false" ht="23.85" hidden="false" customHeight="false" outlineLevel="0" collapsed="false">
      <c r="A17" s="12" t="s">
        <v>230</v>
      </c>
      <c r="B17" s="12" t="s">
        <v>206</v>
      </c>
      <c r="C17" s="12" t="s">
        <v>231</v>
      </c>
      <c r="D17" s="12" t="s">
        <v>232</v>
      </c>
      <c r="E17" s="12" t="s">
        <v>209</v>
      </c>
      <c r="F17" s="12" t="s">
        <v>210</v>
      </c>
      <c r="G17" s="12" t="s">
        <v>233</v>
      </c>
      <c r="H17" s="12" t="s">
        <v>212</v>
      </c>
      <c r="I17" s="19" t="str">
        <f aca="false">IF(COUNTIF('Jadwal 8 Minggu'!$G$5:$G$400,A17)&gt;0,"Ya","Belum")</f>
        <v>Belum</v>
      </c>
    </row>
    <row r="18" customFormat="false" ht="15" hidden="false" customHeight="false" outlineLevel="0" collapsed="false">
      <c r="A18" s="12" t="s">
        <v>88</v>
      </c>
      <c r="B18" s="12" t="s">
        <v>206</v>
      </c>
      <c r="C18" s="12" t="s">
        <v>234</v>
      </c>
      <c r="D18" s="12" t="s">
        <v>235</v>
      </c>
      <c r="E18" s="12" t="s">
        <v>209</v>
      </c>
      <c r="F18" s="12" t="s">
        <v>210</v>
      </c>
      <c r="G18" s="12" t="s">
        <v>236</v>
      </c>
      <c r="H18" s="12" t="s">
        <v>212</v>
      </c>
      <c r="I18" s="19" t="str">
        <f aca="false">IF(COUNTIF('Jadwal 8 Minggu'!$G$5:$G$400,A18)&gt;0,"Ya","Belum")</f>
        <v>Ya</v>
      </c>
    </row>
    <row r="19" customFormat="false" ht="23.85" hidden="false" customHeight="false" outlineLevel="0" collapsed="false">
      <c r="A19" s="12" t="s">
        <v>237</v>
      </c>
      <c r="B19" s="12" t="s">
        <v>206</v>
      </c>
      <c r="C19" s="12" t="s">
        <v>238</v>
      </c>
      <c r="D19" s="12" t="s">
        <v>239</v>
      </c>
      <c r="E19" s="12" t="s">
        <v>216</v>
      </c>
      <c r="F19" s="12" t="s">
        <v>210</v>
      </c>
      <c r="G19" s="12" t="s">
        <v>240</v>
      </c>
      <c r="H19" s="12" t="s">
        <v>218</v>
      </c>
      <c r="I19" s="19" t="str">
        <f aca="false">IF(COUNTIF('Jadwal 8 Minggu'!$G$5:$G$400,A19)&gt;0,"Ya","Belum")</f>
        <v>Belum</v>
      </c>
    </row>
    <row r="20" customFormat="false" ht="23.85" hidden="false" customHeight="false" outlineLevel="0" collapsed="false">
      <c r="A20" s="12" t="s">
        <v>241</v>
      </c>
      <c r="B20" s="12" t="s">
        <v>206</v>
      </c>
      <c r="C20" s="12" t="s">
        <v>242</v>
      </c>
      <c r="D20" s="12" t="s">
        <v>243</v>
      </c>
      <c r="E20" s="12" t="s">
        <v>209</v>
      </c>
      <c r="F20" s="12" t="s">
        <v>210</v>
      </c>
      <c r="G20" s="12" t="s">
        <v>244</v>
      </c>
      <c r="H20" s="12" t="s">
        <v>212</v>
      </c>
      <c r="I20" s="19" t="str">
        <f aca="false">IF(COUNTIF('Jadwal 8 Minggu'!$G$5:$G$400,A20)&gt;0,"Ya","Belum")</f>
        <v>Belum</v>
      </c>
    </row>
    <row r="21" customFormat="false" ht="15" hidden="false" customHeight="false" outlineLevel="0" collapsed="false">
      <c r="A21" s="12" t="s">
        <v>90</v>
      </c>
      <c r="B21" s="12" t="s">
        <v>206</v>
      </c>
      <c r="C21" s="12" t="s">
        <v>245</v>
      </c>
      <c r="D21" s="12" t="s">
        <v>246</v>
      </c>
      <c r="E21" s="12" t="s">
        <v>209</v>
      </c>
      <c r="F21" s="12" t="s">
        <v>210</v>
      </c>
      <c r="G21" s="12" t="s">
        <v>247</v>
      </c>
      <c r="H21" s="12" t="s">
        <v>212</v>
      </c>
      <c r="I21" s="19" t="str">
        <f aca="false">IF(COUNTIF('Jadwal 8 Minggu'!$G$5:$G$400,A21)&gt;0,"Ya","Belum")</f>
        <v>Ya</v>
      </c>
    </row>
    <row r="22" customFormat="false" ht="23.85" hidden="false" customHeight="false" outlineLevel="0" collapsed="false">
      <c r="A22" s="12" t="s">
        <v>248</v>
      </c>
      <c r="B22" s="12" t="s">
        <v>206</v>
      </c>
      <c r="C22" s="12" t="s">
        <v>249</v>
      </c>
      <c r="D22" s="12" t="s">
        <v>250</v>
      </c>
      <c r="E22" s="12" t="s">
        <v>209</v>
      </c>
      <c r="F22" s="12" t="s">
        <v>210</v>
      </c>
      <c r="G22" s="12" t="s">
        <v>251</v>
      </c>
      <c r="H22" s="12" t="s">
        <v>212</v>
      </c>
      <c r="I22" s="19" t="str">
        <f aca="false">IF(COUNTIF('Jadwal 8 Minggu'!$G$5:$G$400,A22)&gt;0,"Ya","Belum")</f>
        <v>Belum</v>
      </c>
    </row>
    <row r="23" customFormat="false" ht="23.85" hidden="false" customHeight="false" outlineLevel="0" collapsed="false">
      <c r="A23" s="12" t="s">
        <v>252</v>
      </c>
      <c r="B23" s="12" t="s">
        <v>206</v>
      </c>
      <c r="C23" s="12" t="s">
        <v>253</v>
      </c>
      <c r="D23" s="12" t="s">
        <v>254</v>
      </c>
      <c r="E23" s="12" t="s">
        <v>216</v>
      </c>
      <c r="F23" s="12" t="s">
        <v>210</v>
      </c>
      <c r="G23" s="12" t="s">
        <v>255</v>
      </c>
      <c r="H23" s="12" t="s">
        <v>218</v>
      </c>
      <c r="I23" s="19" t="str">
        <f aca="false">IF(COUNTIF('Jadwal 8 Minggu'!$G$5:$G$400,A23)&gt;0,"Ya","Belum")</f>
        <v>Belum</v>
      </c>
    </row>
    <row r="24" customFormat="false" ht="23.85" hidden="false" customHeight="false" outlineLevel="0" collapsed="false">
      <c r="A24" s="12" t="s">
        <v>256</v>
      </c>
      <c r="B24" s="12" t="s">
        <v>206</v>
      </c>
      <c r="C24" s="12" t="s">
        <v>257</v>
      </c>
      <c r="D24" s="12" t="s">
        <v>258</v>
      </c>
      <c r="E24" s="12" t="s">
        <v>216</v>
      </c>
      <c r="F24" s="12" t="s">
        <v>210</v>
      </c>
      <c r="G24" s="12" t="s">
        <v>259</v>
      </c>
      <c r="H24" s="12" t="s">
        <v>218</v>
      </c>
      <c r="I24" s="19" t="str">
        <f aca="false">IF(COUNTIF('Jadwal 8 Minggu'!$G$5:$G$400,A24)&gt;0,"Ya","Belum")</f>
        <v>Belum</v>
      </c>
    </row>
    <row r="25" customFormat="false" ht="23.85" hidden="false" customHeight="false" outlineLevel="0" collapsed="false">
      <c r="A25" s="12" t="s">
        <v>99</v>
      </c>
      <c r="B25" s="12" t="s">
        <v>206</v>
      </c>
      <c r="C25" s="12" t="s">
        <v>260</v>
      </c>
      <c r="D25" s="12" t="s">
        <v>261</v>
      </c>
      <c r="E25" s="12" t="s">
        <v>209</v>
      </c>
      <c r="F25" s="12" t="s">
        <v>210</v>
      </c>
      <c r="G25" s="12" t="s">
        <v>262</v>
      </c>
      <c r="H25" s="12" t="s">
        <v>212</v>
      </c>
      <c r="I25" s="19" t="str">
        <f aca="false">IF(COUNTIF('Jadwal 8 Minggu'!$G$5:$G$400,A25)&gt;0,"Ya","Belum")</f>
        <v>Ya</v>
      </c>
    </row>
    <row r="26" customFormat="false" ht="15" hidden="false" customHeight="false" outlineLevel="0" collapsed="false">
      <c r="A26" s="12" t="s">
        <v>263</v>
      </c>
      <c r="B26" s="12" t="s">
        <v>206</v>
      </c>
      <c r="C26" s="12" t="s">
        <v>264</v>
      </c>
      <c r="D26" s="12" t="s">
        <v>265</v>
      </c>
      <c r="E26" s="12" t="s">
        <v>209</v>
      </c>
      <c r="F26" s="12" t="s">
        <v>210</v>
      </c>
      <c r="G26" s="12" t="s">
        <v>266</v>
      </c>
      <c r="H26" s="12" t="s">
        <v>212</v>
      </c>
      <c r="I26" s="19" t="str">
        <f aca="false">IF(COUNTIF('Jadwal 8 Minggu'!$G$5:$G$400,A26)&gt;0,"Ya","Belum")</f>
        <v>Belum</v>
      </c>
    </row>
    <row r="27" customFormat="false" ht="15" hidden="false" customHeight="false" outlineLevel="0" collapsed="false">
      <c r="A27" s="12" t="s">
        <v>101</v>
      </c>
      <c r="B27" s="12" t="s">
        <v>206</v>
      </c>
      <c r="C27" s="12" t="s">
        <v>267</v>
      </c>
      <c r="D27" s="12" t="s">
        <v>268</v>
      </c>
      <c r="E27" s="12" t="s">
        <v>209</v>
      </c>
      <c r="F27" s="12" t="s">
        <v>210</v>
      </c>
      <c r="G27" s="12" t="s">
        <v>269</v>
      </c>
      <c r="H27" s="12" t="s">
        <v>212</v>
      </c>
      <c r="I27" s="19" t="str">
        <f aca="false">IF(COUNTIF('Jadwal 8 Minggu'!$G$5:$G$400,A27)&gt;0,"Ya","Belum")</f>
        <v>Ya</v>
      </c>
    </row>
    <row r="28" customFormat="false" ht="15" hidden="false" customHeight="false" outlineLevel="0" collapsed="false">
      <c r="A28" s="12" t="s">
        <v>270</v>
      </c>
      <c r="B28" s="12" t="s">
        <v>206</v>
      </c>
      <c r="C28" s="12" t="s">
        <v>271</v>
      </c>
      <c r="D28" s="12" t="s">
        <v>272</v>
      </c>
      <c r="E28" s="12" t="s">
        <v>209</v>
      </c>
      <c r="F28" s="12" t="s">
        <v>210</v>
      </c>
      <c r="G28" s="12" t="s">
        <v>273</v>
      </c>
      <c r="H28" s="12" t="s">
        <v>212</v>
      </c>
      <c r="I28" s="19" t="str">
        <f aca="false">IF(COUNTIF('Jadwal 8 Minggu'!$G$5:$G$400,A28)&gt;0,"Ya","Belum")</f>
        <v>Belum</v>
      </c>
    </row>
    <row r="29" customFormat="false" ht="23.85" hidden="false" customHeight="false" outlineLevel="0" collapsed="false">
      <c r="A29" s="12" t="s">
        <v>110</v>
      </c>
      <c r="B29" s="12" t="s">
        <v>206</v>
      </c>
      <c r="C29" s="12" t="s">
        <v>274</v>
      </c>
      <c r="D29" s="12" t="s">
        <v>275</v>
      </c>
      <c r="E29" s="12" t="s">
        <v>209</v>
      </c>
      <c r="F29" s="12" t="s">
        <v>210</v>
      </c>
      <c r="G29" s="12" t="s">
        <v>276</v>
      </c>
      <c r="H29" s="12" t="s">
        <v>212</v>
      </c>
      <c r="I29" s="19" t="str">
        <f aca="false">IF(COUNTIF('Jadwal 8 Minggu'!$G$5:$G$400,A29)&gt;0,"Ya","Belum")</f>
        <v>Ya</v>
      </c>
    </row>
    <row r="30" customFormat="false" ht="23.85" hidden="false" customHeight="false" outlineLevel="0" collapsed="false">
      <c r="A30" s="12" t="s">
        <v>277</v>
      </c>
      <c r="B30" s="12" t="s">
        <v>206</v>
      </c>
      <c r="C30" s="12" t="s">
        <v>278</v>
      </c>
      <c r="D30" s="12" t="s">
        <v>279</v>
      </c>
      <c r="E30" s="12" t="s">
        <v>216</v>
      </c>
      <c r="F30" s="12" t="s">
        <v>210</v>
      </c>
      <c r="G30" s="12" t="s">
        <v>280</v>
      </c>
      <c r="H30" s="12" t="s">
        <v>218</v>
      </c>
      <c r="I30" s="19" t="str">
        <f aca="false">IF(COUNTIF('Jadwal 8 Minggu'!$G$5:$G$400,A30)&gt;0,"Ya","Belum")</f>
        <v>Belum</v>
      </c>
    </row>
    <row r="31" customFormat="false" ht="15" hidden="false" customHeight="false" outlineLevel="0" collapsed="false">
      <c r="A31" s="12" t="s">
        <v>281</v>
      </c>
      <c r="B31" s="12" t="s">
        <v>206</v>
      </c>
      <c r="C31" s="12" t="s">
        <v>282</v>
      </c>
      <c r="D31" s="12" t="s">
        <v>283</v>
      </c>
      <c r="E31" s="12" t="s">
        <v>216</v>
      </c>
      <c r="F31" s="12" t="s">
        <v>210</v>
      </c>
      <c r="G31" s="12" t="s">
        <v>284</v>
      </c>
      <c r="H31" s="12" t="s">
        <v>218</v>
      </c>
      <c r="I31" s="19" t="str">
        <f aca="false">IF(COUNTIF('Jadwal 8 Minggu'!$G$5:$G$400,A31)&gt;0,"Ya","Belum")</f>
        <v>Belum</v>
      </c>
    </row>
    <row r="32" customFormat="false" ht="15" hidden="false" customHeight="false" outlineLevel="0" collapsed="false">
      <c r="A32" s="12" t="s">
        <v>285</v>
      </c>
      <c r="B32" s="12" t="s">
        <v>206</v>
      </c>
      <c r="C32" s="12" t="s">
        <v>286</v>
      </c>
      <c r="D32" s="12" t="s">
        <v>287</v>
      </c>
      <c r="E32" s="12" t="s">
        <v>209</v>
      </c>
      <c r="F32" s="12" t="s">
        <v>210</v>
      </c>
      <c r="G32" s="12" t="s">
        <v>288</v>
      </c>
      <c r="H32" s="12" t="s">
        <v>212</v>
      </c>
      <c r="I32" s="19" t="str">
        <f aca="false">IF(COUNTIF('Jadwal 8 Minggu'!$G$5:$G$400,A32)&gt;0,"Ya","Belum")</f>
        <v>Belum</v>
      </c>
    </row>
    <row r="33" customFormat="false" ht="23.85" hidden="false" customHeight="false" outlineLevel="0" collapsed="false">
      <c r="A33" s="12" t="s">
        <v>289</v>
      </c>
      <c r="B33" s="12" t="s">
        <v>206</v>
      </c>
      <c r="C33" s="12" t="s">
        <v>290</v>
      </c>
      <c r="D33" s="12" t="s">
        <v>291</v>
      </c>
      <c r="E33" s="12" t="s">
        <v>216</v>
      </c>
      <c r="F33" s="12" t="s">
        <v>210</v>
      </c>
      <c r="G33" s="12" t="s">
        <v>292</v>
      </c>
      <c r="H33" s="12" t="s">
        <v>218</v>
      </c>
      <c r="I33" s="19" t="str">
        <f aca="false">IF(COUNTIF('Jadwal 8 Minggu'!$G$5:$G$400,A33)&gt;0,"Ya","Belum")</f>
        <v>Belum</v>
      </c>
    </row>
    <row r="34" customFormat="false" ht="23.85" hidden="false" customHeight="false" outlineLevel="0" collapsed="false">
      <c r="A34" s="12" t="s">
        <v>112</v>
      </c>
      <c r="B34" s="12" t="s">
        <v>206</v>
      </c>
      <c r="C34" s="12" t="s">
        <v>293</v>
      </c>
      <c r="D34" s="12" t="s">
        <v>294</v>
      </c>
      <c r="E34" s="12" t="s">
        <v>209</v>
      </c>
      <c r="F34" s="12" t="s">
        <v>210</v>
      </c>
      <c r="G34" s="12" t="s">
        <v>295</v>
      </c>
      <c r="H34" s="12" t="s">
        <v>212</v>
      </c>
      <c r="I34" s="19" t="str">
        <f aca="false">IF(COUNTIF('Jadwal 8 Minggu'!$G$5:$G$400,A34)&gt;0,"Ya","Belum")</f>
        <v>Ya</v>
      </c>
    </row>
    <row r="35" customFormat="false" ht="23.85" hidden="false" customHeight="false" outlineLevel="0" collapsed="false">
      <c r="A35" s="12" t="s">
        <v>296</v>
      </c>
      <c r="B35" s="12" t="s">
        <v>206</v>
      </c>
      <c r="C35" s="12" t="s">
        <v>297</v>
      </c>
      <c r="D35" s="12" t="s">
        <v>298</v>
      </c>
      <c r="E35" s="12" t="s">
        <v>209</v>
      </c>
      <c r="F35" s="12" t="s">
        <v>210</v>
      </c>
      <c r="G35" s="12" t="s">
        <v>299</v>
      </c>
      <c r="H35" s="12" t="s">
        <v>212</v>
      </c>
      <c r="I35" s="19" t="str">
        <f aca="false">IF(COUNTIF('Jadwal 8 Minggu'!$G$5:$G$400,A35)&gt;0,"Ya","Belum")</f>
        <v>Belum</v>
      </c>
    </row>
    <row r="36" customFormat="false" ht="23.85" hidden="false" customHeight="false" outlineLevel="0" collapsed="false">
      <c r="A36" s="12" t="s">
        <v>300</v>
      </c>
      <c r="B36" s="12" t="s">
        <v>206</v>
      </c>
      <c r="C36" s="12" t="s">
        <v>301</v>
      </c>
      <c r="D36" s="12" t="s">
        <v>302</v>
      </c>
      <c r="E36" s="12" t="s">
        <v>216</v>
      </c>
      <c r="F36" s="12" t="s">
        <v>210</v>
      </c>
      <c r="G36" s="12" t="s">
        <v>303</v>
      </c>
      <c r="H36" s="12" t="s">
        <v>218</v>
      </c>
      <c r="I36" s="19" t="str">
        <f aca="false">IF(COUNTIF('Jadwal 8 Minggu'!$G$5:$G$400,A36)&gt;0,"Ya","Belum")</f>
        <v>Belum</v>
      </c>
    </row>
    <row r="37" customFormat="false" ht="15" hidden="false" customHeight="false" outlineLevel="0" collapsed="false">
      <c r="A37" s="12" t="s">
        <v>121</v>
      </c>
      <c r="B37" s="12" t="s">
        <v>206</v>
      </c>
      <c r="C37" s="12" t="s">
        <v>304</v>
      </c>
      <c r="D37" s="12" t="s">
        <v>305</v>
      </c>
      <c r="E37" s="12" t="s">
        <v>209</v>
      </c>
      <c r="F37" s="12" t="s">
        <v>210</v>
      </c>
      <c r="G37" s="12" t="s">
        <v>306</v>
      </c>
      <c r="H37" s="12" t="s">
        <v>212</v>
      </c>
      <c r="I37" s="19" t="str">
        <f aca="false">IF(COUNTIF('Jadwal 8 Minggu'!$G$5:$G$400,A37)&gt;0,"Ya","Belum")</f>
        <v>Ya</v>
      </c>
    </row>
    <row r="38" customFormat="false" ht="23.85" hidden="false" customHeight="false" outlineLevel="0" collapsed="false">
      <c r="A38" s="12" t="s">
        <v>307</v>
      </c>
      <c r="B38" s="12" t="s">
        <v>206</v>
      </c>
      <c r="C38" s="12" t="s">
        <v>308</v>
      </c>
      <c r="D38" s="12" t="s">
        <v>309</v>
      </c>
      <c r="E38" s="12" t="s">
        <v>209</v>
      </c>
      <c r="F38" s="12" t="s">
        <v>210</v>
      </c>
      <c r="G38" s="12" t="s">
        <v>310</v>
      </c>
      <c r="H38" s="12" t="s">
        <v>212</v>
      </c>
      <c r="I38" s="19" t="str">
        <f aca="false">IF(COUNTIF('Jadwal 8 Minggu'!$G$5:$G$400,A38)&gt;0,"Ya","Belum")</f>
        <v>Belum</v>
      </c>
    </row>
    <row r="39" customFormat="false" ht="23.85" hidden="false" customHeight="false" outlineLevel="0" collapsed="false">
      <c r="A39" s="12" t="s">
        <v>311</v>
      </c>
      <c r="B39" s="12" t="s">
        <v>206</v>
      </c>
      <c r="C39" s="12" t="s">
        <v>312</v>
      </c>
      <c r="D39" s="12" t="s">
        <v>313</v>
      </c>
      <c r="E39" s="12" t="s">
        <v>216</v>
      </c>
      <c r="F39" s="12" t="s">
        <v>210</v>
      </c>
      <c r="G39" s="12" t="s">
        <v>314</v>
      </c>
      <c r="H39" s="12" t="s">
        <v>218</v>
      </c>
      <c r="I39" s="19" t="str">
        <f aca="false">IF(COUNTIF('Jadwal 8 Minggu'!$G$5:$G$400,A39)&gt;0,"Ya","Belum")</f>
        <v>Belum</v>
      </c>
    </row>
    <row r="40" customFormat="false" ht="23.85" hidden="false" customHeight="false" outlineLevel="0" collapsed="false">
      <c r="A40" s="12" t="s">
        <v>123</v>
      </c>
      <c r="B40" s="12" t="s">
        <v>206</v>
      </c>
      <c r="C40" s="12" t="s">
        <v>315</v>
      </c>
      <c r="D40" s="12" t="s">
        <v>316</v>
      </c>
      <c r="E40" s="12" t="s">
        <v>209</v>
      </c>
      <c r="F40" s="12" t="s">
        <v>210</v>
      </c>
      <c r="G40" s="12" t="s">
        <v>317</v>
      </c>
      <c r="H40" s="12" t="s">
        <v>212</v>
      </c>
      <c r="I40" s="19" t="str">
        <f aca="false">IF(COUNTIF('Jadwal 8 Minggu'!$G$5:$G$400,A40)&gt;0,"Ya","Belum")</f>
        <v>Ya</v>
      </c>
    </row>
    <row r="41" customFormat="false" ht="23.85" hidden="false" customHeight="false" outlineLevel="0" collapsed="false">
      <c r="A41" s="12" t="s">
        <v>318</v>
      </c>
      <c r="B41" s="12" t="s">
        <v>206</v>
      </c>
      <c r="C41" s="12" t="s">
        <v>319</v>
      </c>
      <c r="D41" s="12" t="s">
        <v>320</v>
      </c>
      <c r="E41" s="12" t="s">
        <v>209</v>
      </c>
      <c r="F41" s="12" t="s">
        <v>210</v>
      </c>
      <c r="G41" s="12" t="s">
        <v>321</v>
      </c>
      <c r="H41" s="12" t="s">
        <v>212</v>
      </c>
      <c r="I41" s="19" t="str">
        <f aca="false">IF(COUNTIF('Jadwal 8 Minggu'!$G$5:$G$400,A41)&gt;0,"Ya","Belum")</f>
        <v>Belum</v>
      </c>
    </row>
    <row r="42" customFormat="false" ht="23.85" hidden="false" customHeight="false" outlineLevel="0" collapsed="false">
      <c r="A42" s="12" t="s">
        <v>132</v>
      </c>
      <c r="B42" s="12" t="s">
        <v>206</v>
      </c>
      <c r="C42" s="12" t="s">
        <v>322</v>
      </c>
      <c r="D42" s="12" t="s">
        <v>323</v>
      </c>
      <c r="E42" s="12" t="s">
        <v>209</v>
      </c>
      <c r="F42" s="12" t="s">
        <v>210</v>
      </c>
      <c r="G42" s="12" t="s">
        <v>324</v>
      </c>
      <c r="H42" s="12" t="s">
        <v>212</v>
      </c>
      <c r="I42" s="19" t="str">
        <f aca="false">IF(COUNTIF('Jadwal 8 Minggu'!$G$5:$G$400,A42)&gt;0,"Ya","Belum")</f>
        <v>Ya</v>
      </c>
    </row>
    <row r="43" customFormat="false" ht="23.85" hidden="false" customHeight="false" outlineLevel="0" collapsed="false">
      <c r="A43" s="12" t="s">
        <v>325</v>
      </c>
      <c r="B43" s="12" t="s">
        <v>206</v>
      </c>
      <c r="C43" s="12" t="s">
        <v>326</v>
      </c>
      <c r="D43" s="12" t="s">
        <v>327</v>
      </c>
      <c r="E43" s="12" t="s">
        <v>209</v>
      </c>
      <c r="F43" s="12" t="s">
        <v>210</v>
      </c>
      <c r="G43" s="12" t="s">
        <v>328</v>
      </c>
      <c r="H43" s="12" t="s">
        <v>212</v>
      </c>
      <c r="I43" s="19" t="str">
        <f aca="false">IF(COUNTIF('Jadwal 8 Minggu'!$G$5:$G$400,A43)&gt;0,"Ya","Belum")</f>
        <v>Belum</v>
      </c>
    </row>
    <row r="44" customFormat="false" ht="23.85" hidden="false" customHeight="false" outlineLevel="0" collapsed="false">
      <c r="A44" s="12" t="s">
        <v>329</v>
      </c>
      <c r="B44" s="12" t="s">
        <v>206</v>
      </c>
      <c r="C44" s="12" t="s">
        <v>330</v>
      </c>
      <c r="D44" s="12" t="s">
        <v>331</v>
      </c>
      <c r="E44" s="12" t="s">
        <v>216</v>
      </c>
      <c r="F44" s="12" t="s">
        <v>210</v>
      </c>
      <c r="G44" s="12" t="s">
        <v>332</v>
      </c>
      <c r="H44" s="12" t="s">
        <v>218</v>
      </c>
      <c r="I44" s="19" t="str">
        <f aca="false">IF(COUNTIF('Jadwal 8 Minggu'!$G$5:$G$400,A44)&gt;0,"Ya","Belum")</f>
        <v>Belum</v>
      </c>
    </row>
    <row r="45" customFormat="false" ht="23.85" hidden="false" customHeight="false" outlineLevel="0" collapsed="false">
      <c r="A45" s="12" t="s">
        <v>134</v>
      </c>
      <c r="B45" s="12" t="s">
        <v>206</v>
      </c>
      <c r="C45" s="12" t="s">
        <v>333</v>
      </c>
      <c r="D45" s="12" t="s">
        <v>334</v>
      </c>
      <c r="E45" s="12" t="s">
        <v>209</v>
      </c>
      <c r="F45" s="12" t="s">
        <v>210</v>
      </c>
      <c r="G45" s="12" t="s">
        <v>335</v>
      </c>
      <c r="H45" s="12" t="s">
        <v>212</v>
      </c>
      <c r="I45" s="19" t="str">
        <f aca="false">IF(COUNTIF('Jadwal 8 Minggu'!$G$5:$G$400,A45)&gt;0,"Ya","Belum")</f>
        <v>Ya</v>
      </c>
    </row>
    <row r="46" customFormat="false" ht="23.85" hidden="false" customHeight="false" outlineLevel="0" collapsed="false">
      <c r="A46" s="12" t="s">
        <v>336</v>
      </c>
      <c r="B46" s="12" t="s">
        <v>206</v>
      </c>
      <c r="C46" s="12" t="s">
        <v>337</v>
      </c>
      <c r="D46" s="12" t="s">
        <v>338</v>
      </c>
      <c r="E46" s="12" t="s">
        <v>209</v>
      </c>
      <c r="F46" s="12" t="s">
        <v>210</v>
      </c>
      <c r="G46" s="12" t="s">
        <v>339</v>
      </c>
      <c r="H46" s="12" t="s">
        <v>212</v>
      </c>
      <c r="I46" s="19" t="str">
        <f aca="false">IF(COUNTIF('Jadwal 8 Minggu'!$G$5:$G$400,A46)&gt;0,"Ya","Belum")</f>
        <v>Belum</v>
      </c>
    </row>
    <row r="47" customFormat="false" ht="23.85" hidden="false" customHeight="false" outlineLevel="0" collapsed="false">
      <c r="A47" s="12" t="s">
        <v>143</v>
      </c>
      <c r="B47" s="12" t="s">
        <v>206</v>
      </c>
      <c r="C47" s="12" t="s">
        <v>340</v>
      </c>
      <c r="D47" s="12" t="s">
        <v>341</v>
      </c>
      <c r="E47" s="12" t="s">
        <v>209</v>
      </c>
      <c r="F47" s="12" t="s">
        <v>210</v>
      </c>
      <c r="G47" s="12" t="s">
        <v>342</v>
      </c>
      <c r="H47" s="12" t="s">
        <v>212</v>
      </c>
      <c r="I47" s="19" t="str">
        <f aca="false">IF(COUNTIF('Jadwal 8 Minggu'!$G$5:$G$400,A47)&gt;0,"Ya","Belum")</f>
        <v>Ya</v>
      </c>
    </row>
    <row r="48" customFormat="false" ht="23.85" hidden="false" customHeight="false" outlineLevel="0" collapsed="false">
      <c r="A48" s="12" t="s">
        <v>343</v>
      </c>
      <c r="B48" s="12" t="s">
        <v>206</v>
      </c>
      <c r="C48" s="12" t="s">
        <v>344</v>
      </c>
      <c r="D48" s="12" t="s">
        <v>345</v>
      </c>
      <c r="E48" s="12" t="s">
        <v>216</v>
      </c>
      <c r="F48" s="12" t="s">
        <v>210</v>
      </c>
      <c r="G48" s="12" t="s">
        <v>346</v>
      </c>
      <c r="H48" s="12" t="s">
        <v>218</v>
      </c>
      <c r="I48" s="19" t="str">
        <f aca="false">IF(COUNTIF('Jadwal 8 Minggu'!$G$5:$G$400,A48)&gt;0,"Ya","Belum")</f>
        <v>Belum</v>
      </c>
    </row>
    <row r="49" customFormat="false" ht="23.85" hidden="false" customHeight="false" outlineLevel="0" collapsed="false">
      <c r="A49" s="12" t="s">
        <v>347</v>
      </c>
      <c r="B49" s="12" t="s">
        <v>206</v>
      </c>
      <c r="C49" s="12" t="s">
        <v>348</v>
      </c>
      <c r="D49" s="12" t="s">
        <v>349</v>
      </c>
      <c r="E49" s="12" t="s">
        <v>209</v>
      </c>
      <c r="F49" s="12" t="s">
        <v>210</v>
      </c>
      <c r="G49" s="12" t="s">
        <v>350</v>
      </c>
      <c r="H49" s="12" t="s">
        <v>212</v>
      </c>
      <c r="I49" s="19" t="str">
        <f aca="false">IF(COUNTIF('Jadwal 8 Minggu'!$G$5:$G$400,A49)&gt;0,"Ya","Belum")</f>
        <v>Belum</v>
      </c>
    </row>
    <row r="50" customFormat="false" ht="15" hidden="false" customHeight="false" outlineLevel="0" collapsed="false">
      <c r="A50" s="12" t="s">
        <v>351</v>
      </c>
      <c r="B50" s="12" t="s">
        <v>206</v>
      </c>
      <c r="C50" s="12" t="s">
        <v>352</v>
      </c>
      <c r="D50" s="12" t="s">
        <v>353</v>
      </c>
      <c r="E50" s="12" t="s">
        <v>216</v>
      </c>
      <c r="F50" s="12" t="s">
        <v>210</v>
      </c>
      <c r="G50" s="12" t="s">
        <v>354</v>
      </c>
      <c r="H50" s="12" t="s">
        <v>218</v>
      </c>
      <c r="I50" s="19" t="str">
        <f aca="false">IF(COUNTIF('Jadwal 8 Minggu'!$G$5:$G$400,A50)&gt;0,"Ya","Belum")</f>
        <v>Belum</v>
      </c>
    </row>
    <row r="51" customFormat="false" ht="23.85" hidden="false" customHeight="false" outlineLevel="0" collapsed="false">
      <c r="A51" s="12" t="s">
        <v>145</v>
      </c>
      <c r="B51" s="12" t="s">
        <v>206</v>
      </c>
      <c r="C51" s="12" t="s">
        <v>355</v>
      </c>
      <c r="D51" s="12" t="s">
        <v>356</v>
      </c>
      <c r="E51" s="12" t="s">
        <v>209</v>
      </c>
      <c r="F51" s="12" t="s">
        <v>210</v>
      </c>
      <c r="G51" s="12" t="s">
        <v>357</v>
      </c>
      <c r="H51" s="12" t="s">
        <v>212</v>
      </c>
      <c r="I51" s="19" t="str">
        <f aca="false">IF(COUNTIF('Jadwal 8 Minggu'!$G$5:$G$400,A51)&gt;0,"Ya","Belum")</f>
        <v>Ya</v>
      </c>
    </row>
    <row r="52" customFormat="false" ht="15" hidden="false" customHeight="false" outlineLevel="0" collapsed="false">
      <c r="A52" s="12" t="s">
        <v>358</v>
      </c>
      <c r="B52" s="12" t="s">
        <v>206</v>
      </c>
      <c r="C52" s="12" t="s">
        <v>359</v>
      </c>
      <c r="D52" s="12" t="s">
        <v>360</v>
      </c>
      <c r="E52" s="12" t="s">
        <v>216</v>
      </c>
      <c r="F52" s="12" t="s">
        <v>210</v>
      </c>
      <c r="G52" s="12" t="s">
        <v>361</v>
      </c>
      <c r="H52" s="12" t="s">
        <v>218</v>
      </c>
      <c r="I52" s="19" t="str">
        <f aca="false">IF(COUNTIF('Jadwal 8 Minggu'!$G$5:$G$400,A52)&gt;0,"Ya","Belum")</f>
        <v>Belum</v>
      </c>
    </row>
    <row r="53" customFormat="false" ht="23.85" hidden="false" customHeight="false" outlineLevel="0" collapsed="false">
      <c r="A53" s="12" t="s">
        <v>362</v>
      </c>
      <c r="B53" s="12" t="s">
        <v>206</v>
      </c>
      <c r="C53" s="12" t="s">
        <v>363</v>
      </c>
      <c r="D53" s="12" t="s">
        <v>364</v>
      </c>
      <c r="E53" s="12" t="s">
        <v>209</v>
      </c>
      <c r="F53" s="12" t="s">
        <v>210</v>
      </c>
      <c r="G53" s="12" t="s">
        <v>365</v>
      </c>
      <c r="H53" s="12" t="s">
        <v>212</v>
      </c>
      <c r="I53" s="19" t="str">
        <f aca="false">IF(COUNTIF('Jadwal 8 Minggu'!$G$5:$G$400,A53)&gt;0,"Ya","Belum")</f>
        <v>Belum</v>
      </c>
    </row>
    <row r="54" customFormat="false" ht="15" hidden="false" customHeight="false" outlineLevel="0" collapsed="false">
      <c r="A54" s="12" t="s">
        <v>154</v>
      </c>
      <c r="B54" s="12" t="s">
        <v>206</v>
      </c>
      <c r="C54" s="12" t="s">
        <v>366</v>
      </c>
      <c r="D54" s="12" t="s">
        <v>367</v>
      </c>
      <c r="E54" s="12" t="s">
        <v>209</v>
      </c>
      <c r="F54" s="12" t="s">
        <v>210</v>
      </c>
      <c r="G54" s="12" t="s">
        <v>368</v>
      </c>
      <c r="H54" s="12" t="s">
        <v>212</v>
      </c>
      <c r="I54" s="19" t="str">
        <f aca="false">IF(COUNTIF('Jadwal 8 Minggu'!$G$5:$G$400,A54)&gt;0,"Ya","Belum")</f>
        <v>Ya</v>
      </c>
    </row>
    <row r="55" customFormat="false" ht="23.85" hidden="false" customHeight="false" outlineLevel="0" collapsed="false">
      <c r="A55" s="12" t="s">
        <v>369</v>
      </c>
      <c r="B55" s="12" t="s">
        <v>206</v>
      </c>
      <c r="C55" s="12" t="s">
        <v>370</v>
      </c>
      <c r="D55" s="12" t="s">
        <v>371</v>
      </c>
      <c r="E55" s="12" t="s">
        <v>209</v>
      </c>
      <c r="F55" s="12" t="s">
        <v>210</v>
      </c>
      <c r="G55" s="12" t="s">
        <v>372</v>
      </c>
      <c r="H55" s="12" t="s">
        <v>212</v>
      </c>
      <c r="I55" s="19" t="str">
        <f aca="false">IF(COUNTIF('Jadwal 8 Minggu'!$G$5:$G$400,A55)&gt;0,"Ya","Belum")</f>
        <v>Belum</v>
      </c>
    </row>
    <row r="56" customFormat="false" ht="23.85" hidden="false" customHeight="false" outlineLevel="0" collapsed="false">
      <c r="A56" s="12" t="s">
        <v>156</v>
      </c>
      <c r="B56" s="12" t="s">
        <v>206</v>
      </c>
      <c r="C56" s="12" t="s">
        <v>373</v>
      </c>
      <c r="D56" s="12" t="s">
        <v>374</v>
      </c>
      <c r="E56" s="12" t="s">
        <v>209</v>
      </c>
      <c r="F56" s="12" t="s">
        <v>210</v>
      </c>
      <c r="G56" s="12" t="s">
        <v>375</v>
      </c>
      <c r="H56" s="12" t="s">
        <v>212</v>
      </c>
      <c r="I56" s="19" t="str">
        <f aca="false">IF(COUNTIF('Jadwal 8 Minggu'!$G$5:$G$400,A56)&gt;0,"Ya","Belum")</f>
        <v>Ya</v>
      </c>
    </row>
    <row r="57" customFormat="false" ht="15" hidden="false" customHeight="false" outlineLevel="0" collapsed="false">
      <c r="A57" s="12" t="s">
        <v>376</v>
      </c>
      <c r="B57" s="12" t="s">
        <v>206</v>
      </c>
      <c r="C57" s="12" t="s">
        <v>377</v>
      </c>
      <c r="D57" s="12" t="s">
        <v>378</v>
      </c>
      <c r="E57" s="12" t="s">
        <v>216</v>
      </c>
      <c r="F57" s="12" t="s">
        <v>210</v>
      </c>
      <c r="G57" s="12" t="s">
        <v>379</v>
      </c>
      <c r="H57" s="12" t="s">
        <v>218</v>
      </c>
      <c r="I57" s="19" t="str">
        <f aca="false">IF(COUNTIF('Jadwal 8 Minggu'!$G$5:$G$400,A57)&gt;0,"Ya","Belum")</f>
        <v>Belum</v>
      </c>
    </row>
    <row r="58" customFormat="false" ht="23.85" hidden="false" customHeight="false" outlineLevel="0" collapsed="false">
      <c r="A58" s="12" t="s">
        <v>380</v>
      </c>
      <c r="B58" s="12" t="s">
        <v>206</v>
      </c>
      <c r="C58" s="12" t="s">
        <v>381</v>
      </c>
      <c r="D58" s="12" t="s">
        <v>382</v>
      </c>
      <c r="E58" s="12" t="s">
        <v>209</v>
      </c>
      <c r="F58" s="12" t="s">
        <v>210</v>
      </c>
      <c r="G58" s="12" t="s">
        <v>383</v>
      </c>
      <c r="H58" s="12" t="s">
        <v>212</v>
      </c>
      <c r="I58" s="19" t="str">
        <f aca="false">IF(COUNTIF('Jadwal 8 Minggu'!$G$5:$G$400,A58)&gt;0,"Ya","Belum")</f>
        <v>Belum</v>
      </c>
    </row>
    <row r="59" customFormat="false" ht="23.85" hidden="false" customHeight="false" outlineLevel="0" collapsed="false">
      <c r="A59" s="12" t="s">
        <v>384</v>
      </c>
      <c r="B59" s="12" t="s">
        <v>206</v>
      </c>
      <c r="C59" s="12" t="s">
        <v>385</v>
      </c>
      <c r="D59" s="12" t="s">
        <v>386</v>
      </c>
      <c r="E59" s="12" t="s">
        <v>209</v>
      </c>
      <c r="F59" s="12" t="s">
        <v>210</v>
      </c>
      <c r="G59" s="12" t="s">
        <v>387</v>
      </c>
      <c r="H59" s="12" t="s">
        <v>212</v>
      </c>
      <c r="I59" s="19" t="str">
        <f aca="false">IF(COUNTIF('Jadwal 8 Minggu'!$G$5:$G$400,A59)&gt;0,"Ya","Belum")</f>
        <v>Belum</v>
      </c>
    </row>
    <row r="60" customFormat="false" ht="23.85" hidden="false" customHeight="false" outlineLevel="0" collapsed="false">
      <c r="A60" s="12" t="s">
        <v>388</v>
      </c>
      <c r="B60" s="12" t="s">
        <v>206</v>
      </c>
      <c r="C60" s="12" t="s">
        <v>389</v>
      </c>
      <c r="D60" s="12" t="s">
        <v>390</v>
      </c>
      <c r="E60" s="12" t="s">
        <v>216</v>
      </c>
      <c r="F60" s="12" t="s">
        <v>210</v>
      </c>
      <c r="G60" s="12" t="s">
        <v>391</v>
      </c>
      <c r="H60" s="12" t="s">
        <v>218</v>
      </c>
      <c r="I60" s="19" t="str">
        <f aca="false">IF(COUNTIF('Jadwal 8 Minggu'!$G$5:$G$400,A60)&gt;0,"Ya","Belum")</f>
        <v>Belum</v>
      </c>
    </row>
    <row r="61" customFormat="false" ht="23.85" hidden="false" customHeight="false" outlineLevel="0" collapsed="false">
      <c r="A61" s="12" t="s">
        <v>392</v>
      </c>
      <c r="B61" s="12" t="s">
        <v>206</v>
      </c>
      <c r="C61" s="12" t="s">
        <v>393</v>
      </c>
      <c r="D61" s="12" t="s">
        <v>394</v>
      </c>
      <c r="E61" s="12" t="s">
        <v>209</v>
      </c>
      <c r="F61" s="12" t="s">
        <v>210</v>
      </c>
      <c r="G61" s="12" t="s">
        <v>395</v>
      </c>
      <c r="H61" s="12" t="s">
        <v>212</v>
      </c>
      <c r="I61" s="19" t="str">
        <f aca="false">IF(COUNTIF('Jadwal 8 Minggu'!$G$5:$G$400,A61)&gt;0,"Ya","Belum")</f>
        <v>Belum</v>
      </c>
    </row>
    <row r="62" customFormat="false" ht="23.85" hidden="false" customHeight="false" outlineLevel="0" collapsed="false">
      <c r="A62" s="12" t="s">
        <v>396</v>
      </c>
      <c r="B62" s="12" t="s">
        <v>206</v>
      </c>
      <c r="C62" s="12" t="s">
        <v>397</v>
      </c>
      <c r="D62" s="12" t="s">
        <v>398</v>
      </c>
      <c r="E62" s="12" t="s">
        <v>216</v>
      </c>
      <c r="F62" s="12" t="s">
        <v>210</v>
      </c>
      <c r="G62" s="12" t="s">
        <v>399</v>
      </c>
      <c r="H62" s="12" t="s">
        <v>218</v>
      </c>
      <c r="I62" s="19" t="str">
        <f aca="false">IF(COUNTIF('Jadwal 8 Minggu'!$G$5:$G$400,A62)&gt;0,"Ya","Belum")</f>
        <v>Belum</v>
      </c>
    </row>
    <row r="63" customFormat="false" ht="15" hidden="false" customHeight="false" outlineLevel="0" collapsed="false">
      <c r="A63" s="12" t="s">
        <v>400</v>
      </c>
      <c r="B63" s="12" t="s">
        <v>206</v>
      </c>
      <c r="C63" s="12" t="s">
        <v>401</v>
      </c>
      <c r="D63" s="12" t="s">
        <v>402</v>
      </c>
      <c r="E63" s="12" t="s">
        <v>209</v>
      </c>
      <c r="F63" s="12" t="s">
        <v>210</v>
      </c>
      <c r="G63" s="12" t="s">
        <v>403</v>
      </c>
      <c r="H63" s="12" t="s">
        <v>212</v>
      </c>
      <c r="I63" s="19" t="str">
        <f aca="false">IF(COUNTIF('Jadwal 8 Minggu'!$G$5:$G$400,A63)&gt;0,"Ya","Belum")</f>
        <v>Belum</v>
      </c>
    </row>
    <row r="64" customFormat="false" ht="15" hidden="false" customHeight="false" outlineLevel="0" collapsed="false">
      <c r="A64" s="12" t="s">
        <v>404</v>
      </c>
      <c r="B64" s="12" t="s">
        <v>206</v>
      </c>
      <c r="C64" s="12" t="s">
        <v>405</v>
      </c>
      <c r="D64" s="12" t="s">
        <v>406</v>
      </c>
      <c r="E64" s="12" t="s">
        <v>209</v>
      </c>
      <c r="F64" s="12" t="s">
        <v>210</v>
      </c>
      <c r="G64" s="12" t="s">
        <v>407</v>
      </c>
      <c r="H64" s="12" t="s">
        <v>212</v>
      </c>
      <c r="I64" s="19" t="str">
        <f aca="false">IF(COUNTIF('Jadwal 8 Minggu'!$G$5:$G$400,A64)&gt;0,"Ya","Belum")</f>
        <v>Belum</v>
      </c>
    </row>
    <row r="65" customFormat="false" ht="15" hidden="false" customHeight="false" outlineLevel="0" collapsed="false">
      <c r="A65" s="12" t="s">
        <v>408</v>
      </c>
      <c r="B65" s="12" t="s">
        <v>206</v>
      </c>
      <c r="C65" s="12" t="s">
        <v>409</v>
      </c>
      <c r="D65" s="12" t="s">
        <v>410</v>
      </c>
      <c r="E65" s="12" t="s">
        <v>216</v>
      </c>
      <c r="F65" s="12" t="s">
        <v>210</v>
      </c>
      <c r="G65" s="12" t="s">
        <v>411</v>
      </c>
      <c r="H65" s="12" t="s">
        <v>218</v>
      </c>
      <c r="I65" s="19" t="str">
        <f aca="false">IF(COUNTIF('Jadwal 8 Minggu'!$G$5:$G$400,A65)&gt;0,"Ya","Belum")</f>
        <v>Belum</v>
      </c>
    </row>
    <row r="66" customFormat="false" ht="23.85" hidden="false" customHeight="false" outlineLevel="0" collapsed="false">
      <c r="A66" s="12" t="s">
        <v>412</v>
      </c>
      <c r="B66" s="12" t="s">
        <v>206</v>
      </c>
      <c r="C66" s="12" t="s">
        <v>413</v>
      </c>
      <c r="D66" s="12" t="s">
        <v>414</v>
      </c>
      <c r="E66" s="12" t="s">
        <v>209</v>
      </c>
      <c r="F66" s="12" t="s">
        <v>210</v>
      </c>
      <c r="G66" s="12" t="s">
        <v>415</v>
      </c>
      <c r="H66" s="12" t="s">
        <v>212</v>
      </c>
      <c r="I66" s="19" t="str">
        <f aca="false">IF(COUNTIF('Jadwal 8 Minggu'!$G$5:$G$400,A66)&gt;0,"Ya","Belum")</f>
        <v>Belum</v>
      </c>
    </row>
    <row r="67" customFormat="false" ht="23.85" hidden="false" customHeight="false" outlineLevel="0" collapsed="false">
      <c r="A67" s="12" t="s">
        <v>416</v>
      </c>
      <c r="B67" s="12" t="s">
        <v>206</v>
      </c>
      <c r="C67" s="12" t="s">
        <v>417</v>
      </c>
      <c r="D67" s="12" t="s">
        <v>418</v>
      </c>
      <c r="E67" s="12" t="s">
        <v>209</v>
      </c>
      <c r="F67" s="12" t="s">
        <v>210</v>
      </c>
      <c r="G67" s="12" t="s">
        <v>419</v>
      </c>
      <c r="H67" s="12" t="s">
        <v>212</v>
      </c>
      <c r="I67" s="19" t="str">
        <f aca="false">IF(COUNTIF('Jadwal 8 Minggu'!$G$5:$G$400,A67)&gt;0,"Ya","Belum")</f>
        <v>Belum</v>
      </c>
    </row>
    <row r="68" customFormat="false" ht="23.85" hidden="false" customHeight="false" outlineLevel="0" collapsed="false">
      <c r="A68" s="12" t="s">
        <v>420</v>
      </c>
      <c r="B68" s="12" t="s">
        <v>206</v>
      </c>
      <c r="C68" s="12" t="s">
        <v>421</v>
      </c>
      <c r="D68" s="12" t="s">
        <v>422</v>
      </c>
      <c r="E68" s="12" t="s">
        <v>209</v>
      </c>
      <c r="F68" s="12" t="s">
        <v>210</v>
      </c>
      <c r="G68" s="12" t="s">
        <v>423</v>
      </c>
      <c r="H68" s="12" t="s">
        <v>212</v>
      </c>
      <c r="I68" s="19" t="str">
        <f aca="false">IF(COUNTIF('Jadwal 8 Minggu'!$G$5:$G$400,A68)&gt;0,"Ya","Belum")</f>
        <v>Belum</v>
      </c>
    </row>
    <row r="69" customFormat="false" ht="23.85" hidden="false" customHeight="false" outlineLevel="0" collapsed="false">
      <c r="A69" s="12" t="s">
        <v>424</v>
      </c>
      <c r="B69" s="12" t="s">
        <v>206</v>
      </c>
      <c r="C69" s="12" t="s">
        <v>425</v>
      </c>
      <c r="D69" s="12" t="s">
        <v>426</v>
      </c>
      <c r="E69" s="12" t="s">
        <v>216</v>
      </c>
      <c r="F69" s="12" t="s">
        <v>210</v>
      </c>
      <c r="G69" s="12" t="s">
        <v>427</v>
      </c>
      <c r="H69" s="12" t="s">
        <v>218</v>
      </c>
      <c r="I69" s="19" t="str">
        <f aca="false">IF(COUNTIF('Jadwal 8 Minggu'!$G$5:$G$400,A69)&gt;0,"Ya","Belum")</f>
        <v>Belum</v>
      </c>
    </row>
    <row r="70" customFormat="false" ht="23.85" hidden="false" customHeight="false" outlineLevel="0" collapsed="false">
      <c r="A70" s="12" t="s">
        <v>428</v>
      </c>
      <c r="B70" s="12" t="s">
        <v>206</v>
      </c>
      <c r="C70" s="12" t="s">
        <v>429</v>
      </c>
      <c r="D70" s="12" t="s">
        <v>430</v>
      </c>
      <c r="E70" s="12" t="s">
        <v>209</v>
      </c>
      <c r="F70" s="12" t="s">
        <v>210</v>
      </c>
      <c r="G70" s="12" t="s">
        <v>431</v>
      </c>
      <c r="H70" s="12" t="s">
        <v>212</v>
      </c>
      <c r="I70" s="19" t="str">
        <f aca="false">IF(COUNTIF('Jadwal 8 Minggu'!$G$5:$G$400,A70)&gt;0,"Ya","Belum")</f>
        <v>Belum</v>
      </c>
    </row>
    <row r="71" customFormat="false" ht="23.85" hidden="false" customHeight="false" outlineLevel="0" collapsed="false">
      <c r="A71" s="12" t="s">
        <v>432</v>
      </c>
      <c r="B71" s="12" t="s">
        <v>206</v>
      </c>
      <c r="C71" s="12" t="s">
        <v>433</v>
      </c>
      <c r="D71" s="12" t="s">
        <v>434</v>
      </c>
      <c r="E71" s="12" t="s">
        <v>216</v>
      </c>
      <c r="F71" s="12" t="s">
        <v>210</v>
      </c>
      <c r="G71" s="12" t="s">
        <v>435</v>
      </c>
      <c r="H71" s="12" t="s">
        <v>218</v>
      </c>
      <c r="I71" s="19" t="str">
        <f aca="false">IF(COUNTIF('Jadwal 8 Minggu'!$G$5:$G$400,A71)&gt;0,"Ya","Belum")</f>
        <v>Belum</v>
      </c>
    </row>
    <row r="72" customFormat="false" ht="23.85" hidden="false" customHeight="false" outlineLevel="0" collapsed="false">
      <c r="A72" s="12" t="s">
        <v>51</v>
      </c>
      <c r="B72" s="12" t="s">
        <v>436</v>
      </c>
      <c r="C72" s="12" t="s">
        <v>437</v>
      </c>
      <c r="D72" s="12" t="s">
        <v>438</v>
      </c>
      <c r="E72" s="12" t="s">
        <v>209</v>
      </c>
      <c r="F72" s="12" t="s">
        <v>439</v>
      </c>
      <c r="G72" s="12" t="s">
        <v>440</v>
      </c>
      <c r="H72" s="12" t="s">
        <v>212</v>
      </c>
      <c r="I72" s="19" t="str">
        <f aca="false">IF(COUNTIF('Jadwal 8 Minggu'!$G$5:$G$400,A72)&gt;0,"Ya","Belum")</f>
        <v>Ya</v>
      </c>
    </row>
    <row r="73" customFormat="false" ht="23.85" hidden="false" customHeight="false" outlineLevel="0" collapsed="false">
      <c r="A73" s="12" t="s">
        <v>83</v>
      </c>
      <c r="B73" s="12" t="s">
        <v>436</v>
      </c>
      <c r="C73" s="12" t="s">
        <v>441</v>
      </c>
      <c r="D73" s="12" t="s">
        <v>442</v>
      </c>
      <c r="E73" s="12" t="s">
        <v>209</v>
      </c>
      <c r="F73" s="12" t="s">
        <v>439</v>
      </c>
      <c r="G73" s="12" t="s">
        <v>443</v>
      </c>
      <c r="H73" s="12" t="s">
        <v>212</v>
      </c>
      <c r="I73" s="19" t="str">
        <f aca="false">IF(COUNTIF('Jadwal 8 Minggu'!$G$5:$G$400,A73)&gt;0,"Ya","Belum")</f>
        <v>Ya</v>
      </c>
    </row>
    <row r="74" customFormat="false" ht="23.85" hidden="false" customHeight="false" outlineLevel="0" collapsed="false">
      <c r="A74" s="12" t="s">
        <v>97</v>
      </c>
      <c r="B74" s="12" t="s">
        <v>436</v>
      </c>
      <c r="C74" s="12" t="s">
        <v>444</v>
      </c>
      <c r="D74" s="12" t="s">
        <v>445</v>
      </c>
      <c r="E74" s="12" t="s">
        <v>209</v>
      </c>
      <c r="F74" s="12" t="s">
        <v>439</v>
      </c>
      <c r="G74" s="12" t="s">
        <v>446</v>
      </c>
      <c r="H74" s="12" t="s">
        <v>212</v>
      </c>
      <c r="I74" s="19" t="str">
        <f aca="false">IF(COUNTIF('Jadwal 8 Minggu'!$G$5:$G$400,A74)&gt;0,"Ya","Belum")</f>
        <v>Ya</v>
      </c>
    </row>
    <row r="75" customFormat="false" ht="23.85" hidden="false" customHeight="false" outlineLevel="0" collapsed="false">
      <c r="A75" s="12" t="s">
        <v>115</v>
      </c>
      <c r="B75" s="12" t="s">
        <v>436</v>
      </c>
      <c r="C75" s="12" t="s">
        <v>447</v>
      </c>
      <c r="D75" s="12" t="s">
        <v>448</v>
      </c>
      <c r="E75" s="12" t="s">
        <v>209</v>
      </c>
      <c r="F75" s="12" t="s">
        <v>439</v>
      </c>
      <c r="G75" s="12" t="s">
        <v>449</v>
      </c>
      <c r="H75" s="12" t="s">
        <v>212</v>
      </c>
      <c r="I75" s="19" t="str">
        <f aca="false">IF(COUNTIF('Jadwal 8 Minggu'!$G$5:$G$400,A75)&gt;0,"Ya","Belum")</f>
        <v>Ya</v>
      </c>
    </row>
    <row r="76" customFormat="false" ht="23.85" hidden="false" customHeight="false" outlineLevel="0" collapsed="false">
      <c r="A76" s="12" t="s">
        <v>127</v>
      </c>
      <c r="B76" s="12" t="s">
        <v>436</v>
      </c>
      <c r="C76" s="12" t="s">
        <v>450</v>
      </c>
      <c r="D76" s="12" t="s">
        <v>451</v>
      </c>
      <c r="E76" s="12" t="s">
        <v>209</v>
      </c>
      <c r="F76" s="12" t="s">
        <v>439</v>
      </c>
      <c r="G76" s="12" t="s">
        <v>452</v>
      </c>
      <c r="H76" s="12" t="s">
        <v>212</v>
      </c>
      <c r="I76" s="19" t="str">
        <f aca="false">IF(COUNTIF('Jadwal 8 Minggu'!$G$5:$G$400,A76)&gt;0,"Ya","Belum")</f>
        <v>Ya</v>
      </c>
    </row>
    <row r="77" customFormat="false" ht="23.85" hidden="false" customHeight="false" outlineLevel="0" collapsed="false">
      <c r="A77" s="12" t="s">
        <v>140</v>
      </c>
      <c r="B77" s="12" t="s">
        <v>436</v>
      </c>
      <c r="C77" s="12" t="s">
        <v>453</v>
      </c>
      <c r="D77" s="12" t="s">
        <v>454</v>
      </c>
      <c r="E77" s="12" t="s">
        <v>209</v>
      </c>
      <c r="F77" s="12" t="s">
        <v>439</v>
      </c>
      <c r="G77" s="12" t="s">
        <v>455</v>
      </c>
      <c r="H77" s="12" t="s">
        <v>212</v>
      </c>
      <c r="I77" s="19" t="str">
        <f aca="false">IF(COUNTIF('Jadwal 8 Minggu'!$G$5:$G$400,A77)&gt;0,"Ya","Belum")</f>
        <v>Ya</v>
      </c>
    </row>
    <row r="78" customFormat="false" ht="23.85" hidden="false" customHeight="false" outlineLevel="0" collapsed="false">
      <c r="A78" s="12" t="s">
        <v>152</v>
      </c>
      <c r="B78" s="12" t="s">
        <v>436</v>
      </c>
      <c r="C78" s="12" t="s">
        <v>456</v>
      </c>
      <c r="D78" s="12" t="s">
        <v>457</v>
      </c>
      <c r="E78" s="12" t="s">
        <v>209</v>
      </c>
      <c r="F78" s="12" t="s">
        <v>439</v>
      </c>
      <c r="G78" s="12" t="s">
        <v>458</v>
      </c>
      <c r="H78" s="12" t="s">
        <v>212</v>
      </c>
      <c r="I78" s="19" t="str">
        <f aca="false">IF(COUNTIF('Jadwal 8 Minggu'!$G$5:$G$400,A78)&gt;0,"Ya","Belum")</f>
        <v>Ya</v>
      </c>
    </row>
    <row r="79" customFormat="false" ht="23.85" hidden="false" customHeight="false" outlineLevel="0" collapsed="false">
      <c r="A79" s="12" t="s">
        <v>459</v>
      </c>
      <c r="B79" s="12" t="s">
        <v>436</v>
      </c>
      <c r="C79" s="12" t="s">
        <v>460</v>
      </c>
      <c r="D79" s="12" t="s">
        <v>461</v>
      </c>
      <c r="E79" s="12" t="s">
        <v>209</v>
      </c>
      <c r="F79" s="12" t="s">
        <v>439</v>
      </c>
      <c r="G79" s="12" t="s">
        <v>462</v>
      </c>
      <c r="H79" s="12" t="s">
        <v>212</v>
      </c>
      <c r="I79" s="19" t="str">
        <f aca="false">IF(COUNTIF('Jadwal 8 Minggu'!$G$5:$G$400,A79)&gt;0,"Ya","Belum")</f>
        <v>Belum</v>
      </c>
    </row>
    <row r="80" customFormat="false" ht="23.85" hidden="false" customHeight="false" outlineLevel="0" collapsed="false">
      <c r="A80" s="12" t="s">
        <v>463</v>
      </c>
      <c r="B80" s="12" t="s">
        <v>436</v>
      </c>
      <c r="C80" s="12" t="s">
        <v>464</v>
      </c>
      <c r="D80" s="12" t="s">
        <v>465</v>
      </c>
      <c r="E80" s="12" t="s">
        <v>209</v>
      </c>
      <c r="F80" s="12" t="s">
        <v>439</v>
      </c>
      <c r="G80" s="12" t="s">
        <v>466</v>
      </c>
      <c r="H80" s="12" t="s">
        <v>212</v>
      </c>
      <c r="I80" s="19" t="str">
        <f aca="false">IF(COUNTIF('Jadwal 8 Minggu'!$G$5:$G$400,A80)&gt;0,"Ya","Belum")</f>
        <v>Belum</v>
      </c>
    </row>
    <row r="81" customFormat="false" ht="23.85" hidden="false" customHeight="false" outlineLevel="0" collapsed="false">
      <c r="A81" s="12" t="s">
        <v>467</v>
      </c>
      <c r="B81" s="12" t="s">
        <v>436</v>
      </c>
      <c r="C81" s="12" t="s">
        <v>468</v>
      </c>
      <c r="D81" s="12" t="s">
        <v>469</v>
      </c>
      <c r="E81" s="12" t="s">
        <v>209</v>
      </c>
      <c r="F81" s="12" t="s">
        <v>439</v>
      </c>
      <c r="G81" s="12" t="s">
        <v>470</v>
      </c>
      <c r="H81" s="12" t="s">
        <v>212</v>
      </c>
      <c r="I81" s="19" t="str">
        <f aca="false">IF(COUNTIF('Jadwal 8 Minggu'!$G$5:$G$400,A81)&gt;0,"Ya","Belum")</f>
        <v>Belum</v>
      </c>
    </row>
    <row r="82" customFormat="false" ht="23.85" hidden="false" customHeight="false" outlineLevel="0" collapsed="false">
      <c r="A82" s="12" t="s">
        <v>471</v>
      </c>
      <c r="B82" s="12" t="s">
        <v>436</v>
      </c>
      <c r="C82" s="12" t="s">
        <v>472</v>
      </c>
      <c r="D82" s="12" t="s">
        <v>473</v>
      </c>
      <c r="E82" s="12" t="s">
        <v>209</v>
      </c>
      <c r="F82" s="12" t="s">
        <v>439</v>
      </c>
      <c r="G82" s="12" t="s">
        <v>474</v>
      </c>
      <c r="H82" s="12" t="s">
        <v>212</v>
      </c>
      <c r="I82" s="19" t="str">
        <f aca="false">IF(COUNTIF('Jadwal 8 Minggu'!$G$5:$G$400,A82)&gt;0,"Ya","Belum")</f>
        <v>Belum</v>
      </c>
    </row>
    <row r="83" customFormat="false" ht="23.85" hidden="false" customHeight="false" outlineLevel="0" collapsed="false">
      <c r="A83" s="12" t="s">
        <v>475</v>
      </c>
      <c r="B83" s="12" t="s">
        <v>436</v>
      </c>
      <c r="C83" s="12" t="s">
        <v>476</v>
      </c>
      <c r="D83" s="12" t="s">
        <v>477</v>
      </c>
      <c r="E83" s="12" t="s">
        <v>209</v>
      </c>
      <c r="F83" s="12" t="s">
        <v>439</v>
      </c>
      <c r="G83" s="12" t="s">
        <v>478</v>
      </c>
      <c r="H83" s="12" t="s">
        <v>212</v>
      </c>
      <c r="I83" s="19" t="str">
        <f aca="false">IF(COUNTIF('Jadwal 8 Minggu'!$G$5:$G$400,A83)&gt;0,"Ya","Belum")</f>
        <v>Belum</v>
      </c>
    </row>
    <row r="84" customFormat="false" ht="23.85" hidden="false" customHeight="false" outlineLevel="0" collapsed="false">
      <c r="A84" s="12" t="s">
        <v>479</v>
      </c>
      <c r="B84" s="12" t="s">
        <v>436</v>
      </c>
      <c r="C84" s="12" t="s">
        <v>480</v>
      </c>
      <c r="D84" s="12" t="s">
        <v>481</v>
      </c>
      <c r="E84" s="12" t="s">
        <v>209</v>
      </c>
      <c r="F84" s="12" t="s">
        <v>439</v>
      </c>
      <c r="G84" s="12" t="s">
        <v>482</v>
      </c>
      <c r="H84" s="12" t="s">
        <v>212</v>
      </c>
      <c r="I84" s="19" t="str">
        <f aca="false">IF(COUNTIF('Jadwal 8 Minggu'!$G$5:$G$400,A84)&gt;0,"Ya","Belum")</f>
        <v>Belum</v>
      </c>
    </row>
    <row r="85" customFormat="false" ht="23.85" hidden="false" customHeight="false" outlineLevel="0" collapsed="false">
      <c r="A85" s="12" t="s">
        <v>483</v>
      </c>
      <c r="B85" s="12" t="s">
        <v>436</v>
      </c>
      <c r="C85" s="12" t="s">
        <v>484</v>
      </c>
      <c r="D85" s="12" t="s">
        <v>485</v>
      </c>
      <c r="E85" s="12" t="s">
        <v>209</v>
      </c>
      <c r="F85" s="12" t="s">
        <v>439</v>
      </c>
      <c r="G85" s="12" t="s">
        <v>486</v>
      </c>
      <c r="H85" s="12" t="s">
        <v>212</v>
      </c>
      <c r="I85" s="19" t="str">
        <f aca="false">IF(COUNTIF('Jadwal 8 Minggu'!$G$5:$G$400,A85)&gt;0,"Ya","Belum")</f>
        <v>Belum</v>
      </c>
    </row>
    <row r="86" customFormat="false" ht="23.85" hidden="false" customHeight="false" outlineLevel="0" collapsed="false">
      <c r="A86" s="12" t="s">
        <v>487</v>
      </c>
      <c r="B86" s="12" t="s">
        <v>436</v>
      </c>
      <c r="C86" s="12" t="s">
        <v>488</v>
      </c>
      <c r="D86" s="12" t="s">
        <v>489</v>
      </c>
      <c r="E86" s="12" t="s">
        <v>209</v>
      </c>
      <c r="F86" s="12" t="s">
        <v>439</v>
      </c>
      <c r="G86" s="12" t="s">
        <v>490</v>
      </c>
      <c r="H86" s="12" t="s">
        <v>212</v>
      </c>
      <c r="I86" s="19" t="str">
        <f aca="false">IF(COUNTIF('Jadwal 8 Minggu'!$G$5:$G$400,A86)&gt;0,"Ya","Belum")</f>
        <v>Belum</v>
      </c>
    </row>
    <row r="87" customFormat="false" ht="23.85" hidden="false" customHeight="false" outlineLevel="0" collapsed="false">
      <c r="A87" s="12" t="s">
        <v>62</v>
      </c>
      <c r="B87" s="12" t="s">
        <v>491</v>
      </c>
      <c r="C87" s="12" t="s">
        <v>492</v>
      </c>
      <c r="D87" s="12" t="s">
        <v>493</v>
      </c>
      <c r="E87" s="12" t="s">
        <v>209</v>
      </c>
      <c r="F87" s="12" t="s">
        <v>439</v>
      </c>
      <c r="G87" s="12" t="s">
        <v>494</v>
      </c>
      <c r="H87" s="12" t="s">
        <v>212</v>
      </c>
      <c r="I87" s="19" t="str">
        <f aca="false">IF(COUNTIF('Jadwal 8 Minggu'!$G$5:$G$400,A87)&gt;0,"Ya","Belum")</f>
        <v>Ya</v>
      </c>
    </row>
    <row r="88" customFormat="false" ht="23.85" hidden="false" customHeight="false" outlineLevel="0" collapsed="false">
      <c r="A88" s="12" t="s">
        <v>86</v>
      </c>
      <c r="B88" s="12" t="s">
        <v>491</v>
      </c>
      <c r="C88" s="12" t="s">
        <v>495</v>
      </c>
      <c r="D88" s="12" t="s">
        <v>496</v>
      </c>
      <c r="E88" s="12" t="s">
        <v>209</v>
      </c>
      <c r="F88" s="12" t="s">
        <v>439</v>
      </c>
      <c r="G88" s="12" t="s">
        <v>497</v>
      </c>
      <c r="H88" s="12" t="s">
        <v>212</v>
      </c>
      <c r="I88" s="19" t="str">
        <f aca="false">IF(COUNTIF('Jadwal 8 Minggu'!$G$5:$G$400,A88)&gt;0,"Ya","Belum")</f>
        <v>Ya</v>
      </c>
    </row>
    <row r="89" customFormat="false" ht="23.85" hidden="false" customHeight="false" outlineLevel="0" collapsed="false">
      <c r="A89" s="12" t="s">
        <v>104</v>
      </c>
      <c r="B89" s="12" t="s">
        <v>491</v>
      </c>
      <c r="C89" s="12" t="s">
        <v>498</v>
      </c>
      <c r="D89" s="12" t="s">
        <v>499</v>
      </c>
      <c r="E89" s="12" t="s">
        <v>209</v>
      </c>
      <c r="F89" s="12" t="s">
        <v>439</v>
      </c>
      <c r="G89" s="12" t="s">
        <v>500</v>
      </c>
      <c r="H89" s="12" t="s">
        <v>212</v>
      </c>
      <c r="I89" s="19" t="str">
        <f aca="false">IF(COUNTIF('Jadwal 8 Minggu'!$G$5:$G$400,A89)&gt;0,"Ya","Belum")</f>
        <v>Ya</v>
      </c>
    </row>
    <row r="90" customFormat="false" ht="23.85" hidden="false" customHeight="false" outlineLevel="0" collapsed="false">
      <c r="A90" s="12" t="s">
        <v>118</v>
      </c>
      <c r="B90" s="12" t="s">
        <v>491</v>
      </c>
      <c r="C90" s="12" t="s">
        <v>501</v>
      </c>
      <c r="D90" s="12" t="s">
        <v>502</v>
      </c>
      <c r="E90" s="12" t="s">
        <v>209</v>
      </c>
      <c r="F90" s="12" t="s">
        <v>439</v>
      </c>
      <c r="G90" s="12" t="s">
        <v>503</v>
      </c>
      <c r="H90" s="12" t="s">
        <v>212</v>
      </c>
      <c r="I90" s="19" t="str">
        <f aca="false">IF(COUNTIF('Jadwal 8 Minggu'!$G$5:$G$400,A90)&gt;0,"Ya","Belum")</f>
        <v>Ya</v>
      </c>
    </row>
    <row r="91" customFormat="false" ht="23.85" hidden="false" customHeight="false" outlineLevel="0" collapsed="false">
      <c r="A91" s="12" t="s">
        <v>130</v>
      </c>
      <c r="B91" s="12" t="s">
        <v>491</v>
      </c>
      <c r="C91" s="12" t="s">
        <v>504</v>
      </c>
      <c r="D91" s="12" t="s">
        <v>505</v>
      </c>
      <c r="E91" s="12" t="s">
        <v>209</v>
      </c>
      <c r="F91" s="12" t="s">
        <v>439</v>
      </c>
      <c r="G91" s="12" t="s">
        <v>506</v>
      </c>
      <c r="H91" s="12" t="s">
        <v>212</v>
      </c>
      <c r="I91" s="19" t="str">
        <f aca="false">IF(COUNTIF('Jadwal 8 Minggu'!$G$5:$G$400,A91)&gt;0,"Ya","Belum")</f>
        <v>Ya</v>
      </c>
    </row>
    <row r="92" customFormat="false" ht="23.85" hidden="false" customHeight="false" outlineLevel="0" collapsed="false">
      <c r="A92" s="12" t="s">
        <v>146</v>
      </c>
      <c r="B92" s="12" t="s">
        <v>491</v>
      </c>
      <c r="C92" s="12" t="s">
        <v>507</v>
      </c>
      <c r="D92" s="12" t="s">
        <v>508</v>
      </c>
      <c r="E92" s="12" t="s">
        <v>209</v>
      </c>
      <c r="F92" s="12" t="s">
        <v>439</v>
      </c>
      <c r="G92" s="12" t="s">
        <v>509</v>
      </c>
      <c r="H92" s="12" t="s">
        <v>212</v>
      </c>
      <c r="I92" s="19" t="str">
        <f aca="false">IF(COUNTIF('Jadwal 8 Minggu'!$G$5:$G$400,A92)&gt;0,"Ya","Belum")</f>
        <v>Ya</v>
      </c>
    </row>
    <row r="93" customFormat="false" ht="23.85" hidden="false" customHeight="false" outlineLevel="0" collapsed="false">
      <c r="A93" s="12" t="s">
        <v>510</v>
      </c>
      <c r="B93" s="12" t="s">
        <v>491</v>
      </c>
      <c r="C93" s="12" t="s">
        <v>511</v>
      </c>
      <c r="D93" s="12" t="s">
        <v>512</v>
      </c>
      <c r="E93" s="12" t="s">
        <v>209</v>
      </c>
      <c r="F93" s="12" t="s">
        <v>439</v>
      </c>
      <c r="G93" s="12" t="s">
        <v>513</v>
      </c>
      <c r="H93" s="12" t="s">
        <v>212</v>
      </c>
      <c r="I93" s="19" t="str">
        <f aca="false">IF(COUNTIF('Jadwal 8 Minggu'!$G$5:$G$400,A93)&gt;0,"Ya","Belum")</f>
        <v>Belum</v>
      </c>
    </row>
    <row r="94" customFormat="false" ht="23.85" hidden="false" customHeight="false" outlineLevel="0" collapsed="false">
      <c r="A94" s="12" t="s">
        <v>514</v>
      </c>
      <c r="B94" s="12" t="s">
        <v>491</v>
      </c>
      <c r="C94" s="12" t="s">
        <v>515</v>
      </c>
      <c r="D94" s="12" t="s">
        <v>516</v>
      </c>
      <c r="E94" s="12" t="s">
        <v>209</v>
      </c>
      <c r="F94" s="12" t="s">
        <v>439</v>
      </c>
      <c r="G94" s="12" t="s">
        <v>517</v>
      </c>
      <c r="H94" s="12" t="s">
        <v>212</v>
      </c>
      <c r="I94" s="19" t="str">
        <f aca="false">IF(COUNTIF('Jadwal 8 Minggu'!$G$5:$G$400,A94)&gt;0,"Ya","Belum")</f>
        <v>Belum</v>
      </c>
    </row>
    <row r="95" customFormat="false" ht="23.85" hidden="false" customHeight="false" outlineLevel="0" collapsed="false">
      <c r="A95" s="12" t="s">
        <v>518</v>
      </c>
      <c r="B95" s="12" t="s">
        <v>491</v>
      </c>
      <c r="C95" s="12" t="s">
        <v>519</v>
      </c>
      <c r="D95" s="12" t="s">
        <v>520</v>
      </c>
      <c r="E95" s="12" t="s">
        <v>209</v>
      </c>
      <c r="F95" s="12" t="s">
        <v>439</v>
      </c>
      <c r="G95" s="12" t="s">
        <v>521</v>
      </c>
      <c r="H95" s="12" t="s">
        <v>212</v>
      </c>
      <c r="I95" s="19" t="str">
        <f aca="false">IF(COUNTIF('Jadwal 8 Minggu'!$G$5:$G$400,A95)&gt;0,"Ya","Belum")</f>
        <v>Belum</v>
      </c>
    </row>
    <row r="96" customFormat="false" ht="23.85" hidden="false" customHeight="false" outlineLevel="0" collapsed="false">
      <c r="A96" s="12" t="s">
        <v>522</v>
      </c>
      <c r="B96" s="12" t="s">
        <v>491</v>
      </c>
      <c r="C96" s="12" t="s">
        <v>523</v>
      </c>
      <c r="D96" s="12" t="s">
        <v>524</v>
      </c>
      <c r="E96" s="12" t="s">
        <v>209</v>
      </c>
      <c r="F96" s="12" t="s">
        <v>439</v>
      </c>
      <c r="G96" s="12" t="s">
        <v>525</v>
      </c>
      <c r="H96" s="12" t="s">
        <v>212</v>
      </c>
      <c r="I96" s="19" t="str">
        <f aca="false">IF(COUNTIF('Jadwal 8 Minggu'!$G$5:$G$400,A96)&gt;0,"Ya","Belum")</f>
        <v>Belum</v>
      </c>
    </row>
    <row r="97" customFormat="false" ht="23.85" hidden="false" customHeight="false" outlineLevel="0" collapsed="false">
      <c r="A97" s="12" t="s">
        <v>526</v>
      </c>
      <c r="B97" s="12" t="s">
        <v>491</v>
      </c>
      <c r="C97" s="12" t="s">
        <v>527</v>
      </c>
      <c r="D97" s="12" t="s">
        <v>528</v>
      </c>
      <c r="E97" s="12" t="s">
        <v>209</v>
      </c>
      <c r="F97" s="12" t="s">
        <v>439</v>
      </c>
      <c r="G97" s="12" t="s">
        <v>529</v>
      </c>
      <c r="H97" s="12" t="s">
        <v>212</v>
      </c>
      <c r="I97" s="19" t="str">
        <f aca="false">IF(COUNTIF('Jadwal 8 Minggu'!$G$5:$G$400,A97)&gt;0,"Ya","Belum")</f>
        <v>Belum</v>
      </c>
    </row>
    <row r="98" customFormat="false" ht="23.85" hidden="false" customHeight="false" outlineLevel="0" collapsed="false">
      <c r="A98" s="12" t="s">
        <v>530</v>
      </c>
      <c r="B98" s="12" t="s">
        <v>491</v>
      </c>
      <c r="C98" s="12" t="s">
        <v>531</v>
      </c>
      <c r="D98" s="12" t="s">
        <v>532</v>
      </c>
      <c r="E98" s="12" t="s">
        <v>209</v>
      </c>
      <c r="F98" s="12" t="s">
        <v>439</v>
      </c>
      <c r="G98" s="12" t="s">
        <v>533</v>
      </c>
      <c r="H98" s="12" t="s">
        <v>212</v>
      </c>
      <c r="I98" s="19" t="str">
        <f aca="false">IF(COUNTIF('Jadwal 8 Minggu'!$G$5:$G$400,A98)&gt;0,"Ya","Belum")</f>
        <v>Belum</v>
      </c>
    </row>
    <row r="99" customFormat="false" ht="23.85" hidden="false" customHeight="false" outlineLevel="0" collapsed="false">
      <c r="A99" s="12" t="s">
        <v>82</v>
      </c>
      <c r="B99" s="12" t="s">
        <v>534</v>
      </c>
      <c r="C99" s="12" t="s">
        <v>535</v>
      </c>
      <c r="D99" s="12" t="s">
        <v>536</v>
      </c>
      <c r="E99" s="12" t="s">
        <v>209</v>
      </c>
      <c r="F99" s="12" t="s">
        <v>439</v>
      </c>
      <c r="G99" s="12" t="s">
        <v>537</v>
      </c>
      <c r="H99" s="12" t="s">
        <v>212</v>
      </c>
      <c r="I99" s="19" t="str">
        <f aca="false">IF(COUNTIF('Jadwal 8 Minggu'!$G$5:$G$400,A99)&gt;0,"Ya","Belum")</f>
        <v>Ya</v>
      </c>
    </row>
    <row r="100" customFormat="false" ht="23.85" hidden="false" customHeight="false" outlineLevel="0" collapsed="false">
      <c r="A100" s="12" t="s">
        <v>96</v>
      </c>
      <c r="B100" s="12" t="s">
        <v>534</v>
      </c>
      <c r="C100" s="12" t="s">
        <v>538</v>
      </c>
      <c r="D100" s="12" t="s">
        <v>539</v>
      </c>
      <c r="E100" s="12" t="s">
        <v>209</v>
      </c>
      <c r="F100" s="12" t="s">
        <v>439</v>
      </c>
      <c r="G100" s="12" t="s">
        <v>540</v>
      </c>
      <c r="H100" s="12" t="s">
        <v>212</v>
      </c>
      <c r="I100" s="19" t="str">
        <f aca="false">IF(COUNTIF('Jadwal 8 Minggu'!$G$5:$G$400,A100)&gt;0,"Ya","Belum")</f>
        <v>Ya</v>
      </c>
    </row>
    <row r="101" customFormat="false" ht="23.85" hidden="false" customHeight="false" outlineLevel="0" collapsed="false">
      <c r="A101" s="12" t="s">
        <v>113</v>
      </c>
      <c r="B101" s="12" t="s">
        <v>534</v>
      </c>
      <c r="C101" s="12" t="s">
        <v>541</v>
      </c>
      <c r="D101" s="12" t="s">
        <v>542</v>
      </c>
      <c r="E101" s="12" t="s">
        <v>209</v>
      </c>
      <c r="F101" s="12" t="s">
        <v>439</v>
      </c>
      <c r="G101" s="12" t="s">
        <v>543</v>
      </c>
      <c r="H101" s="12" t="s">
        <v>212</v>
      </c>
      <c r="I101" s="19" t="str">
        <f aca="false">IF(COUNTIF('Jadwal 8 Minggu'!$G$5:$G$400,A101)&gt;0,"Ya","Belum")</f>
        <v>Ya</v>
      </c>
    </row>
    <row r="102" customFormat="false" ht="23.85" hidden="false" customHeight="false" outlineLevel="0" collapsed="false">
      <c r="A102" s="12" t="s">
        <v>61</v>
      </c>
      <c r="B102" s="12" t="s">
        <v>544</v>
      </c>
      <c r="C102" s="12" t="s">
        <v>545</v>
      </c>
      <c r="D102" s="12" t="s">
        <v>546</v>
      </c>
      <c r="E102" s="12" t="s">
        <v>209</v>
      </c>
      <c r="F102" s="12" t="s">
        <v>547</v>
      </c>
      <c r="G102" s="12" t="s">
        <v>548</v>
      </c>
      <c r="H102" s="12" t="s">
        <v>549</v>
      </c>
      <c r="I102" s="19" t="str">
        <f aca="false">IF(COUNTIF('Jadwal 8 Minggu'!$G$5:$G$400,A102)&gt;0,"Ya","Belum")</f>
        <v>Ya</v>
      </c>
    </row>
    <row r="103" customFormat="false" ht="23.85" hidden="false" customHeight="false" outlineLevel="0" collapsed="false">
      <c r="A103" s="12" t="s">
        <v>85</v>
      </c>
      <c r="B103" s="12" t="s">
        <v>544</v>
      </c>
      <c r="C103" s="12" t="s">
        <v>550</v>
      </c>
      <c r="D103" s="12" t="s">
        <v>551</v>
      </c>
      <c r="E103" s="12" t="s">
        <v>209</v>
      </c>
      <c r="F103" s="12" t="s">
        <v>547</v>
      </c>
      <c r="G103" s="12" t="s">
        <v>552</v>
      </c>
      <c r="H103" s="12" t="s">
        <v>549</v>
      </c>
      <c r="I103" s="19" t="str">
        <f aca="false">IF(COUNTIF('Jadwal 8 Minggu'!$G$5:$G$400,A103)&gt;0,"Ya","Belum")</f>
        <v>Ya</v>
      </c>
    </row>
    <row r="104" customFormat="false" ht="23.85" hidden="false" customHeight="false" outlineLevel="0" collapsed="false">
      <c r="A104" s="12" t="s">
        <v>102</v>
      </c>
      <c r="B104" s="12" t="s">
        <v>544</v>
      </c>
      <c r="C104" s="12" t="s">
        <v>553</v>
      </c>
      <c r="D104" s="12" t="s">
        <v>554</v>
      </c>
      <c r="E104" s="12" t="s">
        <v>209</v>
      </c>
      <c r="F104" s="12" t="s">
        <v>547</v>
      </c>
      <c r="G104" s="12" t="s">
        <v>555</v>
      </c>
      <c r="H104" s="12" t="s">
        <v>549</v>
      </c>
      <c r="I104" s="19" t="str">
        <f aca="false">IF(COUNTIF('Jadwal 8 Minggu'!$G$5:$G$400,A104)&gt;0,"Ya","Belum")</f>
        <v>Ya</v>
      </c>
    </row>
    <row r="105" customFormat="false" ht="23.85" hidden="false" customHeight="false" outlineLevel="0" collapsed="false">
      <c r="A105" s="12" t="s">
        <v>116</v>
      </c>
      <c r="B105" s="12" t="s">
        <v>544</v>
      </c>
      <c r="C105" s="12" t="s">
        <v>556</v>
      </c>
      <c r="D105" s="12" t="s">
        <v>557</v>
      </c>
      <c r="E105" s="12" t="s">
        <v>209</v>
      </c>
      <c r="F105" s="12" t="s">
        <v>547</v>
      </c>
      <c r="G105" s="12" t="s">
        <v>558</v>
      </c>
      <c r="H105" s="12" t="s">
        <v>549</v>
      </c>
      <c r="I105" s="19" t="str">
        <f aca="false">IF(COUNTIF('Jadwal 8 Minggu'!$G$5:$G$400,A105)&gt;0,"Ya","Belum")</f>
        <v>Ya</v>
      </c>
    </row>
    <row r="106" customFormat="false" ht="23.85" hidden="false" customHeight="false" outlineLevel="0" collapsed="false">
      <c r="A106" s="12" t="s">
        <v>129</v>
      </c>
      <c r="B106" s="12" t="s">
        <v>544</v>
      </c>
      <c r="C106" s="12" t="s">
        <v>559</v>
      </c>
      <c r="D106" s="12" t="s">
        <v>560</v>
      </c>
      <c r="E106" s="12" t="s">
        <v>209</v>
      </c>
      <c r="F106" s="12" t="s">
        <v>547</v>
      </c>
      <c r="G106" s="12" t="s">
        <v>561</v>
      </c>
      <c r="H106" s="12" t="s">
        <v>549</v>
      </c>
      <c r="I106" s="19" t="str">
        <f aca="false">IF(COUNTIF('Jadwal 8 Minggu'!$G$5:$G$400,A106)&gt;0,"Ya","Belum")</f>
        <v>Ya</v>
      </c>
    </row>
    <row r="107" customFormat="false" ht="23.85" hidden="false" customHeight="false" outlineLevel="0" collapsed="false">
      <c r="A107" s="12" t="s">
        <v>141</v>
      </c>
      <c r="B107" s="12" t="s">
        <v>544</v>
      </c>
      <c r="C107" s="12" t="s">
        <v>562</v>
      </c>
      <c r="D107" s="12" t="s">
        <v>563</v>
      </c>
      <c r="E107" s="12" t="s">
        <v>209</v>
      </c>
      <c r="F107" s="12" t="s">
        <v>547</v>
      </c>
      <c r="G107" s="12" t="s">
        <v>564</v>
      </c>
      <c r="H107" s="12" t="s">
        <v>549</v>
      </c>
      <c r="I107" s="19" t="str">
        <f aca="false">IF(COUNTIF('Jadwal 8 Minggu'!$G$5:$G$400,A107)&gt;0,"Ya","Belum")</f>
        <v>Ya</v>
      </c>
    </row>
    <row r="108" customFormat="false" ht="23.85" hidden="false" customHeight="false" outlineLevel="0" collapsed="false">
      <c r="A108" s="12" t="s">
        <v>565</v>
      </c>
      <c r="B108" s="12" t="s">
        <v>544</v>
      </c>
      <c r="C108" s="12" t="s">
        <v>566</v>
      </c>
      <c r="D108" s="12" t="s">
        <v>567</v>
      </c>
      <c r="E108" s="12" t="s">
        <v>209</v>
      </c>
      <c r="F108" s="12" t="s">
        <v>547</v>
      </c>
      <c r="G108" s="12" t="s">
        <v>568</v>
      </c>
      <c r="H108" s="12" t="s">
        <v>549</v>
      </c>
      <c r="I108" s="19" t="str">
        <f aca="false">IF(COUNTIF('Jadwal 8 Minggu'!$G$5:$G$400,A108)&gt;0,"Ya","Belum")</f>
        <v>Belum</v>
      </c>
    </row>
    <row r="109" customFormat="false" ht="23.85" hidden="false" customHeight="false" outlineLevel="0" collapsed="false">
      <c r="A109" s="12" t="s">
        <v>569</v>
      </c>
      <c r="B109" s="12" t="s">
        <v>544</v>
      </c>
      <c r="C109" s="12" t="s">
        <v>570</v>
      </c>
      <c r="D109" s="12" t="s">
        <v>571</v>
      </c>
      <c r="E109" s="12" t="s">
        <v>209</v>
      </c>
      <c r="F109" s="12" t="s">
        <v>547</v>
      </c>
      <c r="G109" s="12" t="s">
        <v>572</v>
      </c>
      <c r="H109" s="12" t="s">
        <v>549</v>
      </c>
      <c r="I109" s="19" t="str">
        <f aca="false">IF(COUNTIF('Jadwal 8 Minggu'!$G$5:$G$400,A109)&gt;0,"Ya","Belum")</f>
        <v>Belum</v>
      </c>
    </row>
    <row r="110" customFormat="false" ht="23.85" hidden="false" customHeight="false" outlineLevel="0" collapsed="false">
      <c r="A110" s="12" t="s">
        <v>573</v>
      </c>
      <c r="B110" s="12" t="s">
        <v>544</v>
      </c>
      <c r="C110" s="12" t="s">
        <v>574</v>
      </c>
      <c r="D110" s="12" t="s">
        <v>575</v>
      </c>
      <c r="E110" s="12" t="s">
        <v>209</v>
      </c>
      <c r="F110" s="12" t="s">
        <v>547</v>
      </c>
      <c r="G110" s="12" t="s">
        <v>576</v>
      </c>
      <c r="H110" s="12" t="s">
        <v>549</v>
      </c>
      <c r="I110" s="19" t="str">
        <f aca="false">IF(COUNTIF('Jadwal 8 Minggu'!$G$5:$G$400,A110)&gt;0,"Ya","Belum")</f>
        <v>Belum</v>
      </c>
    </row>
    <row r="111" customFormat="false" ht="23.85" hidden="false" customHeight="false" outlineLevel="0" collapsed="false">
      <c r="A111" s="12" t="s">
        <v>577</v>
      </c>
      <c r="B111" s="12" t="s">
        <v>544</v>
      </c>
      <c r="C111" s="12" t="s">
        <v>578</v>
      </c>
      <c r="D111" s="12" t="s">
        <v>579</v>
      </c>
      <c r="E111" s="12" t="s">
        <v>209</v>
      </c>
      <c r="F111" s="12" t="s">
        <v>547</v>
      </c>
      <c r="G111" s="12" t="s">
        <v>580</v>
      </c>
      <c r="H111" s="12" t="s">
        <v>549</v>
      </c>
      <c r="I111" s="19" t="str">
        <f aca="false">IF(COUNTIF('Jadwal 8 Minggu'!$G$5:$G$400,A111)&gt;0,"Ya","Belum")</f>
        <v>Belum</v>
      </c>
    </row>
    <row r="112" customFormat="false" ht="23.85" hidden="false" customHeight="false" outlineLevel="0" collapsed="false">
      <c r="A112" s="12" t="s">
        <v>581</v>
      </c>
      <c r="B112" s="12" t="s">
        <v>544</v>
      </c>
      <c r="C112" s="12" t="s">
        <v>582</v>
      </c>
      <c r="D112" s="12" t="s">
        <v>583</v>
      </c>
      <c r="E112" s="12" t="s">
        <v>209</v>
      </c>
      <c r="F112" s="12" t="s">
        <v>547</v>
      </c>
      <c r="G112" s="12" t="s">
        <v>584</v>
      </c>
      <c r="H112" s="12" t="s">
        <v>549</v>
      </c>
      <c r="I112" s="19" t="str">
        <f aca="false">IF(COUNTIF('Jadwal 8 Minggu'!$G$5:$G$400,A112)&gt;0,"Ya","Belum")</f>
        <v>Belum</v>
      </c>
    </row>
    <row r="113" customFormat="false" ht="23.85" hidden="false" customHeight="false" outlineLevel="0" collapsed="false">
      <c r="A113" s="12" t="s">
        <v>585</v>
      </c>
      <c r="B113" s="12" t="s">
        <v>544</v>
      </c>
      <c r="C113" s="12" t="s">
        <v>586</v>
      </c>
      <c r="D113" s="12" t="s">
        <v>587</v>
      </c>
      <c r="E113" s="12" t="s">
        <v>209</v>
      </c>
      <c r="F113" s="12" t="s">
        <v>547</v>
      </c>
      <c r="G113" s="12" t="s">
        <v>588</v>
      </c>
      <c r="H113" s="12" t="s">
        <v>549</v>
      </c>
      <c r="I113" s="19" t="str">
        <f aca="false">IF(COUNTIF('Jadwal 8 Minggu'!$G$5:$G$400,A113)&gt;0,"Ya","Belum")</f>
        <v>Belum</v>
      </c>
    </row>
    <row r="114" customFormat="false" ht="23.85" hidden="false" customHeight="false" outlineLevel="0" collapsed="false">
      <c r="A114" s="12" t="s">
        <v>589</v>
      </c>
      <c r="B114" s="12" t="s">
        <v>544</v>
      </c>
      <c r="C114" s="12" t="s">
        <v>590</v>
      </c>
      <c r="D114" s="12" t="s">
        <v>591</v>
      </c>
      <c r="E114" s="12" t="s">
        <v>209</v>
      </c>
      <c r="F114" s="12" t="s">
        <v>547</v>
      </c>
      <c r="G114" s="12" t="s">
        <v>592</v>
      </c>
      <c r="H114" s="12" t="s">
        <v>549</v>
      </c>
      <c r="I114" s="19" t="str">
        <f aca="false">IF(COUNTIF('Jadwal 8 Minggu'!$G$5:$G$400,A114)&gt;0,"Ya","Belum")</f>
        <v>Belum</v>
      </c>
    </row>
    <row r="115" customFormat="false" ht="23.85" hidden="false" customHeight="false" outlineLevel="0" collapsed="false">
      <c r="A115" s="12" t="s">
        <v>593</v>
      </c>
      <c r="B115" s="12" t="s">
        <v>544</v>
      </c>
      <c r="C115" s="12" t="s">
        <v>594</v>
      </c>
      <c r="D115" s="12" t="s">
        <v>595</v>
      </c>
      <c r="E115" s="12" t="s">
        <v>209</v>
      </c>
      <c r="F115" s="12" t="s">
        <v>547</v>
      </c>
      <c r="G115" s="12" t="s">
        <v>596</v>
      </c>
      <c r="H115" s="12" t="s">
        <v>549</v>
      </c>
      <c r="I115" s="19" t="str">
        <f aca="false">IF(COUNTIF('Jadwal 8 Minggu'!$G$5:$G$400,A115)&gt;0,"Ya","Belum")</f>
        <v>Belum</v>
      </c>
    </row>
    <row r="116" customFormat="false" ht="23.85" hidden="false" customHeight="false" outlineLevel="0" collapsed="false">
      <c r="A116" s="12" t="s">
        <v>597</v>
      </c>
      <c r="B116" s="12" t="s">
        <v>544</v>
      </c>
      <c r="C116" s="12" t="s">
        <v>598</v>
      </c>
      <c r="D116" s="12" t="s">
        <v>599</v>
      </c>
      <c r="E116" s="12" t="s">
        <v>209</v>
      </c>
      <c r="F116" s="12" t="s">
        <v>547</v>
      </c>
      <c r="G116" s="12" t="s">
        <v>600</v>
      </c>
      <c r="H116" s="12" t="s">
        <v>549</v>
      </c>
      <c r="I116" s="19" t="str">
        <f aca="false">IF(COUNTIF('Jadwal 8 Minggu'!$G$5:$G$400,A116)&gt;0,"Ya","Belum")</f>
        <v>Belum</v>
      </c>
    </row>
    <row r="117" customFormat="false" ht="23.85" hidden="false" customHeight="false" outlineLevel="0" collapsed="false">
      <c r="A117" s="12" t="s">
        <v>601</v>
      </c>
      <c r="B117" s="12" t="s">
        <v>544</v>
      </c>
      <c r="C117" s="12" t="s">
        <v>602</v>
      </c>
      <c r="D117" s="12" t="s">
        <v>603</v>
      </c>
      <c r="E117" s="12" t="s">
        <v>209</v>
      </c>
      <c r="F117" s="12" t="s">
        <v>547</v>
      </c>
      <c r="G117" s="12" t="s">
        <v>604</v>
      </c>
      <c r="H117" s="12" t="s">
        <v>549</v>
      </c>
      <c r="I117" s="19" t="str">
        <f aca="false">IF(COUNTIF('Jadwal 8 Minggu'!$G$5:$G$400,A117)&gt;0,"Ya","Belum")</f>
        <v>Belum</v>
      </c>
    </row>
    <row r="118" customFormat="false" ht="23.85" hidden="false" customHeight="false" outlineLevel="0" collapsed="false">
      <c r="A118" s="12" t="s">
        <v>605</v>
      </c>
      <c r="B118" s="12" t="s">
        <v>544</v>
      </c>
      <c r="C118" s="12" t="s">
        <v>606</v>
      </c>
      <c r="D118" s="12" t="s">
        <v>607</v>
      </c>
      <c r="E118" s="12" t="s">
        <v>209</v>
      </c>
      <c r="F118" s="12" t="s">
        <v>547</v>
      </c>
      <c r="G118" s="12" t="s">
        <v>608</v>
      </c>
      <c r="H118" s="12" t="s">
        <v>549</v>
      </c>
      <c r="I118" s="19" t="str">
        <f aca="false">IF(COUNTIF('Jadwal 8 Minggu'!$G$5:$G$400,A118)&gt;0,"Ya","Belum")</f>
        <v>Belum</v>
      </c>
    </row>
    <row r="119" customFormat="false" ht="23.85" hidden="false" customHeight="false" outlineLevel="0" collapsed="false">
      <c r="A119" s="12" t="s">
        <v>609</v>
      </c>
      <c r="B119" s="12" t="s">
        <v>544</v>
      </c>
      <c r="C119" s="12" t="s">
        <v>610</v>
      </c>
      <c r="D119" s="12" t="s">
        <v>611</v>
      </c>
      <c r="E119" s="12" t="s">
        <v>209</v>
      </c>
      <c r="F119" s="12" t="s">
        <v>547</v>
      </c>
      <c r="G119" s="12" t="s">
        <v>612</v>
      </c>
      <c r="H119" s="12" t="s">
        <v>549</v>
      </c>
      <c r="I119" s="19" t="str">
        <f aca="false">IF(COUNTIF('Jadwal 8 Minggu'!$G$5:$G$400,A119)&gt;0,"Ya","Belum")</f>
        <v>Belum</v>
      </c>
    </row>
    <row r="120" customFormat="false" ht="23.85" hidden="false" customHeight="false" outlineLevel="0" collapsed="false">
      <c r="A120" s="12" t="s">
        <v>613</v>
      </c>
      <c r="B120" s="12" t="s">
        <v>544</v>
      </c>
      <c r="C120" s="12" t="s">
        <v>614</v>
      </c>
      <c r="D120" s="12" t="s">
        <v>615</v>
      </c>
      <c r="E120" s="12" t="s">
        <v>209</v>
      </c>
      <c r="F120" s="12" t="s">
        <v>547</v>
      </c>
      <c r="G120" s="12" t="s">
        <v>616</v>
      </c>
      <c r="H120" s="12" t="s">
        <v>549</v>
      </c>
      <c r="I120" s="19" t="str">
        <f aca="false">IF(COUNTIF('Jadwal 8 Minggu'!$G$5:$G$400,A120)&gt;0,"Ya","Belum")</f>
        <v>Belum</v>
      </c>
    </row>
    <row r="121" customFormat="false" ht="23.85" hidden="false" customHeight="false" outlineLevel="0" collapsed="false">
      <c r="A121" s="12" t="s">
        <v>617</v>
      </c>
      <c r="B121" s="12" t="s">
        <v>544</v>
      </c>
      <c r="C121" s="12" t="s">
        <v>618</v>
      </c>
      <c r="D121" s="12" t="s">
        <v>619</v>
      </c>
      <c r="E121" s="12" t="s">
        <v>209</v>
      </c>
      <c r="F121" s="12" t="s">
        <v>547</v>
      </c>
      <c r="G121" s="12" t="s">
        <v>620</v>
      </c>
      <c r="H121" s="12" t="s">
        <v>549</v>
      </c>
      <c r="I121" s="19" t="str">
        <f aca="false">IF(COUNTIF('Jadwal 8 Minggu'!$G$5:$G$400,A121)&gt;0,"Ya","Belum")</f>
        <v>Belum</v>
      </c>
    </row>
    <row r="122" customFormat="false" ht="23.85" hidden="false" customHeight="false" outlineLevel="0" collapsed="false">
      <c r="A122" s="12" t="s">
        <v>71</v>
      </c>
      <c r="B122" s="12" t="s">
        <v>544</v>
      </c>
      <c r="C122" s="12" t="s">
        <v>621</v>
      </c>
      <c r="D122" s="12" t="s">
        <v>622</v>
      </c>
      <c r="E122" s="12" t="s">
        <v>209</v>
      </c>
      <c r="F122" s="12" t="s">
        <v>547</v>
      </c>
      <c r="G122" s="12" t="s">
        <v>623</v>
      </c>
      <c r="H122" s="12" t="s">
        <v>549</v>
      </c>
      <c r="I122" s="19" t="str">
        <f aca="false">IF(COUNTIF('Jadwal 8 Minggu'!$G$5:$G$400,A122)&gt;0,"Ya","Belum")</f>
        <v>Ya</v>
      </c>
    </row>
    <row r="123" customFormat="false" ht="23.85" hidden="false" customHeight="false" outlineLevel="0" collapsed="false">
      <c r="A123" s="12" t="s">
        <v>91</v>
      </c>
      <c r="B123" s="12" t="s">
        <v>544</v>
      </c>
      <c r="C123" s="12" t="s">
        <v>624</v>
      </c>
      <c r="D123" s="12" t="s">
        <v>625</v>
      </c>
      <c r="E123" s="12" t="s">
        <v>209</v>
      </c>
      <c r="F123" s="12" t="s">
        <v>547</v>
      </c>
      <c r="G123" s="12" t="s">
        <v>626</v>
      </c>
      <c r="H123" s="12" t="s">
        <v>549</v>
      </c>
      <c r="I123" s="19" t="str">
        <f aca="false">IF(COUNTIF('Jadwal 8 Minggu'!$G$5:$G$400,A123)&gt;0,"Ya","Belum")</f>
        <v>Ya</v>
      </c>
    </row>
    <row r="124" customFormat="false" ht="23.85" hidden="false" customHeight="false" outlineLevel="0" collapsed="false">
      <c r="A124" s="12" t="s">
        <v>105</v>
      </c>
      <c r="B124" s="12" t="s">
        <v>544</v>
      </c>
      <c r="C124" s="12" t="s">
        <v>627</v>
      </c>
      <c r="D124" s="12" t="s">
        <v>628</v>
      </c>
      <c r="E124" s="12" t="s">
        <v>209</v>
      </c>
      <c r="F124" s="12" t="s">
        <v>547</v>
      </c>
      <c r="G124" s="12" t="s">
        <v>629</v>
      </c>
      <c r="H124" s="12" t="s">
        <v>549</v>
      </c>
      <c r="I124" s="19" t="str">
        <f aca="false">IF(COUNTIF('Jadwal 8 Minggu'!$G$5:$G$400,A124)&gt;0,"Ya","Belum")</f>
        <v>Ya</v>
      </c>
    </row>
    <row r="125" customFormat="false" ht="23.85" hidden="false" customHeight="false" outlineLevel="0" collapsed="false">
      <c r="A125" s="12" t="s">
        <v>119</v>
      </c>
      <c r="B125" s="12" t="s">
        <v>544</v>
      </c>
      <c r="C125" s="12" t="s">
        <v>630</v>
      </c>
      <c r="D125" s="12" t="s">
        <v>631</v>
      </c>
      <c r="E125" s="12" t="s">
        <v>209</v>
      </c>
      <c r="F125" s="12" t="s">
        <v>547</v>
      </c>
      <c r="G125" s="12" t="s">
        <v>632</v>
      </c>
      <c r="H125" s="12" t="s">
        <v>549</v>
      </c>
      <c r="I125" s="19" t="str">
        <f aca="false">IF(COUNTIF('Jadwal 8 Minggu'!$G$5:$G$400,A125)&gt;0,"Ya","Belum")</f>
        <v>Ya</v>
      </c>
    </row>
    <row r="126" customFormat="false" ht="23.85" hidden="false" customHeight="false" outlineLevel="0" collapsed="false">
      <c r="A126" s="12" t="s">
        <v>135</v>
      </c>
      <c r="B126" s="12" t="s">
        <v>544</v>
      </c>
      <c r="C126" s="12" t="s">
        <v>633</v>
      </c>
      <c r="D126" s="12" t="s">
        <v>634</v>
      </c>
      <c r="E126" s="12" t="s">
        <v>209</v>
      </c>
      <c r="F126" s="12" t="s">
        <v>547</v>
      </c>
      <c r="G126" s="12" t="s">
        <v>635</v>
      </c>
      <c r="H126" s="12" t="s">
        <v>549</v>
      </c>
      <c r="I126" s="19" t="str">
        <f aca="false">IF(COUNTIF('Jadwal 8 Minggu'!$G$5:$G$400,A126)&gt;0,"Ya","Belum")</f>
        <v>Ya</v>
      </c>
    </row>
    <row r="127" customFormat="false" ht="23.85" hidden="false" customHeight="false" outlineLevel="0" collapsed="false">
      <c r="A127" s="12" t="s">
        <v>148</v>
      </c>
      <c r="B127" s="12" t="s">
        <v>544</v>
      </c>
      <c r="C127" s="12" t="s">
        <v>636</v>
      </c>
      <c r="D127" s="12" t="s">
        <v>637</v>
      </c>
      <c r="E127" s="12" t="s">
        <v>209</v>
      </c>
      <c r="F127" s="12" t="s">
        <v>547</v>
      </c>
      <c r="G127" s="12" t="s">
        <v>638</v>
      </c>
      <c r="H127" s="12" t="s">
        <v>549</v>
      </c>
      <c r="I127" s="19" t="str">
        <f aca="false">IF(COUNTIF('Jadwal 8 Minggu'!$G$5:$G$400,A127)&gt;0,"Ya","Belum")</f>
        <v>Ya</v>
      </c>
    </row>
    <row r="128" customFormat="false" ht="23.85" hidden="false" customHeight="false" outlineLevel="0" collapsed="false">
      <c r="A128" s="12" t="s">
        <v>639</v>
      </c>
      <c r="B128" s="12" t="s">
        <v>544</v>
      </c>
      <c r="C128" s="12" t="s">
        <v>640</v>
      </c>
      <c r="D128" s="12" t="s">
        <v>641</v>
      </c>
      <c r="E128" s="12" t="s">
        <v>209</v>
      </c>
      <c r="F128" s="12" t="s">
        <v>547</v>
      </c>
      <c r="G128" s="12" t="s">
        <v>642</v>
      </c>
      <c r="H128" s="12" t="s">
        <v>549</v>
      </c>
      <c r="I128" s="19" t="str">
        <f aca="false">IF(COUNTIF('Jadwal 8 Minggu'!$G$5:$G$400,A128)&gt;0,"Ya","Belum")</f>
        <v>Belum</v>
      </c>
    </row>
    <row r="129" customFormat="false" ht="23.85" hidden="false" customHeight="false" outlineLevel="0" collapsed="false">
      <c r="A129" s="12" t="s">
        <v>643</v>
      </c>
      <c r="B129" s="12" t="s">
        <v>544</v>
      </c>
      <c r="C129" s="12" t="s">
        <v>644</v>
      </c>
      <c r="D129" s="12" t="s">
        <v>645</v>
      </c>
      <c r="E129" s="12" t="s">
        <v>209</v>
      </c>
      <c r="F129" s="12" t="s">
        <v>547</v>
      </c>
      <c r="G129" s="12" t="s">
        <v>646</v>
      </c>
      <c r="H129" s="12" t="s">
        <v>549</v>
      </c>
      <c r="I129" s="19" t="str">
        <f aca="false">IF(COUNTIF('Jadwal 8 Minggu'!$G$5:$G$400,A129)&gt;0,"Ya","Belum")</f>
        <v>Belum</v>
      </c>
    </row>
    <row r="130" customFormat="false" ht="23.85" hidden="false" customHeight="false" outlineLevel="0" collapsed="false">
      <c r="A130" s="12" t="s">
        <v>647</v>
      </c>
      <c r="B130" s="12" t="s">
        <v>544</v>
      </c>
      <c r="C130" s="12" t="s">
        <v>648</v>
      </c>
      <c r="D130" s="12" t="s">
        <v>649</v>
      </c>
      <c r="E130" s="12" t="s">
        <v>209</v>
      </c>
      <c r="F130" s="12" t="s">
        <v>547</v>
      </c>
      <c r="G130" s="12" t="s">
        <v>650</v>
      </c>
      <c r="H130" s="12" t="s">
        <v>549</v>
      </c>
      <c r="I130" s="19" t="str">
        <f aca="false">IF(COUNTIF('Jadwal 8 Minggu'!$G$5:$G$400,A130)&gt;0,"Ya","Belum")</f>
        <v>Belum</v>
      </c>
    </row>
    <row r="131" customFormat="false" ht="23.85" hidden="false" customHeight="false" outlineLevel="0" collapsed="false">
      <c r="A131" s="12" t="s">
        <v>651</v>
      </c>
      <c r="B131" s="12" t="s">
        <v>544</v>
      </c>
      <c r="C131" s="12" t="s">
        <v>652</v>
      </c>
      <c r="D131" s="12" t="s">
        <v>653</v>
      </c>
      <c r="E131" s="12" t="s">
        <v>209</v>
      </c>
      <c r="F131" s="12" t="s">
        <v>547</v>
      </c>
      <c r="G131" s="12" t="s">
        <v>654</v>
      </c>
      <c r="H131" s="12" t="s">
        <v>549</v>
      </c>
      <c r="I131" s="19" t="str">
        <f aca="false">IF(COUNTIF('Jadwal 8 Minggu'!$G$5:$G$400,A131)&gt;0,"Ya","Belum")</f>
        <v>Belum</v>
      </c>
    </row>
    <row r="132" customFormat="false" ht="23.85" hidden="false" customHeight="false" outlineLevel="0" collapsed="false">
      <c r="A132" s="12" t="s">
        <v>655</v>
      </c>
      <c r="B132" s="12" t="s">
        <v>544</v>
      </c>
      <c r="C132" s="12" t="s">
        <v>656</v>
      </c>
      <c r="D132" s="12" t="s">
        <v>657</v>
      </c>
      <c r="E132" s="12" t="s">
        <v>209</v>
      </c>
      <c r="F132" s="12" t="s">
        <v>547</v>
      </c>
      <c r="G132" s="12" t="s">
        <v>658</v>
      </c>
      <c r="H132" s="12" t="s">
        <v>549</v>
      </c>
      <c r="I132" s="19" t="str">
        <f aca="false">IF(COUNTIF('Jadwal 8 Minggu'!$G$5:$G$400,A132)&gt;0,"Ya","Belum")</f>
        <v>Belum</v>
      </c>
    </row>
    <row r="133" customFormat="false" ht="23.85" hidden="false" customHeight="false" outlineLevel="0" collapsed="false">
      <c r="A133" s="12" t="s">
        <v>659</v>
      </c>
      <c r="B133" s="12" t="s">
        <v>544</v>
      </c>
      <c r="C133" s="12" t="s">
        <v>660</v>
      </c>
      <c r="D133" s="12" t="s">
        <v>661</v>
      </c>
      <c r="E133" s="12" t="s">
        <v>209</v>
      </c>
      <c r="F133" s="12" t="s">
        <v>547</v>
      </c>
      <c r="G133" s="12" t="s">
        <v>662</v>
      </c>
      <c r="H133" s="12" t="s">
        <v>549</v>
      </c>
      <c r="I133" s="19" t="str">
        <f aca="false">IF(COUNTIF('Jadwal 8 Minggu'!$G$5:$G$400,A133)&gt;0,"Ya","Belum")</f>
        <v>Belum</v>
      </c>
    </row>
    <row r="134" customFormat="false" ht="23.85" hidden="false" customHeight="false" outlineLevel="0" collapsed="false">
      <c r="A134" s="12" t="s">
        <v>663</v>
      </c>
      <c r="B134" s="12" t="s">
        <v>544</v>
      </c>
      <c r="C134" s="12" t="s">
        <v>664</v>
      </c>
      <c r="D134" s="12" t="s">
        <v>665</v>
      </c>
      <c r="E134" s="12" t="s">
        <v>209</v>
      </c>
      <c r="F134" s="12" t="s">
        <v>547</v>
      </c>
      <c r="G134" s="12" t="s">
        <v>666</v>
      </c>
      <c r="H134" s="12" t="s">
        <v>549</v>
      </c>
      <c r="I134" s="19" t="str">
        <f aca="false">IF(COUNTIF('Jadwal 8 Minggu'!$G$5:$G$400,A134)&gt;0,"Ya","Belum")</f>
        <v>Belum</v>
      </c>
    </row>
    <row r="135" customFormat="false" ht="23.85" hidden="false" customHeight="false" outlineLevel="0" collapsed="false">
      <c r="A135" s="12" t="s">
        <v>667</v>
      </c>
      <c r="B135" s="12" t="s">
        <v>544</v>
      </c>
      <c r="C135" s="12" t="s">
        <v>668</v>
      </c>
      <c r="D135" s="12" t="s">
        <v>669</v>
      </c>
      <c r="E135" s="12" t="s">
        <v>209</v>
      </c>
      <c r="F135" s="12" t="s">
        <v>547</v>
      </c>
      <c r="G135" s="12" t="s">
        <v>670</v>
      </c>
      <c r="H135" s="12" t="s">
        <v>549</v>
      </c>
      <c r="I135" s="19" t="str">
        <f aca="false">IF(COUNTIF('Jadwal 8 Minggu'!$G$5:$G$400,A135)&gt;0,"Ya","Belum")</f>
        <v>Belum</v>
      </c>
    </row>
    <row r="136" customFormat="false" ht="23.85" hidden="false" customHeight="false" outlineLevel="0" collapsed="false">
      <c r="A136" s="12" t="s">
        <v>671</v>
      </c>
      <c r="B136" s="12" t="s">
        <v>544</v>
      </c>
      <c r="C136" s="12" t="s">
        <v>672</v>
      </c>
      <c r="D136" s="12" t="s">
        <v>673</v>
      </c>
      <c r="E136" s="12" t="s">
        <v>209</v>
      </c>
      <c r="F136" s="12" t="s">
        <v>547</v>
      </c>
      <c r="G136" s="12" t="s">
        <v>674</v>
      </c>
      <c r="H136" s="12" t="s">
        <v>549</v>
      </c>
      <c r="I136" s="19" t="str">
        <f aca="false">IF(COUNTIF('Jadwal 8 Minggu'!$G$5:$G$400,A136)&gt;0,"Ya","Belum")</f>
        <v>Belum</v>
      </c>
    </row>
    <row r="137" customFormat="false" ht="23.85" hidden="false" customHeight="false" outlineLevel="0" collapsed="false">
      <c r="A137" s="12" t="s">
        <v>72</v>
      </c>
      <c r="B137" s="12" t="s">
        <v>544</v>
      </c>
      <c r="C137" s="12" t="s">
        <v>675</v>
      </c>
      <c r="D137" s="12" t="s">
        <v>676</v>
      </c>
      <c r="E137" s="12" t="s">
        <v>209</v>
      </c>
      <c r="F137" s="12" t="s">
        <v>547</v>
      </c>
      <c r="G137" s="12" t="s">
        <v>677</v>
      </c>
      <c r="H137" s="12" t="s">
        <v>549</v>
      </c>
      <c r="I137" s="19" t="str">
        <f aca="false">IF(COUNTIF('Jadwal 8 Minggu'!$G$5:$G$400,A137)&gt;0,"Ya","Belum")</f>
        <v>Ya</v>
      </c>
    </row>
    <row r="138" customFormat="false" ht="23.85" hidden="false" customHeight="false" outlineLevel="0" collapsed="false">
      <c r="A138" s="12" t="s">
        <v>93</v>
      </c>
      <c r="B138" s="12" t="s">
        <v>544</v>
      </c>
      <c r="C138" s="12" t="s">
        <v>678</v>
      </c>
      <c r="D138" s="12" t="s">
        <v>679</v>
      </c>
      <c r="E138" s="12" t="s">
        <v>209</v>
      </c>
      <c r="F138" s="12" t="s">
        <v>547</v>
      </c>
      <c r="G138" s="12" t="s">
        <v>680</v>
      </c>
      <c r="H138" s="12" t="s">
        <v>549</v>
      </c>
      <c r="I138" s="19" t="str">
        <f aca="false">IF(COUNTIF('Jadwal 8 Minggu'!$G$5:$G$400,A138)&gt;0,"Ya","Belum")</f>
        <v>Ya</v>
      </c>
    </row>
    <row r="139" customFormat="false" ht="23.85" hidden="false" customHeight="false" outlineLevel="0" collapsed="false">
      <c r="A139" s="12" t="s">
        <v>107</v>
      </c>
      <c r="B139" s="12" t="s">
        <v>544</v>
      </c>
      <c r="C139" s="12" t="s">
        <v>681</v>
      </c>
      <c r="D139" s="12" t="s">
        <v>682</v>
      </c>
      <c r="E139" s="12" t="s">
        <v>209</v>
      </c>
      <c r="F139" s="12" t="s">
        <v>547</v>
      </c>
      <c r="G139" s="12" t="s">
        <v>683</v>
      </c>
      <c r="H139" s="12" t="s">
        <v>549</v>
      </c>
      <c r="I139" s="19" t="str">
        <f aca="false">IF(COUNTIF('Jadwal 8 Minggu'!$G$5:$G$400,A139)&gt;0,"Ya","Belum")</f>
        <v>Ya</v>
      </c>
    </row>
    <row r="140" customFormat="false" ht="23.85" hidden="false" customHeight="false" outlineLevel="0" collapsed="false">
      <c r="A140" s="12" t="s">
        <v>124</v>
      </c>
      <c r="B140" s="12" t="s">
        <v>544</v>
      </c>
      <c r="C140" s="12" t="s">
        <v>684</v>
      </c>
      <c r="D140" s="12" t="s">
        <v>685</v>
      </c>
      <c r="E140" s="12" t="s">
        <v>209</v>
      </c>
      <c r="F140" s="12" t="s">
        <v>547</v>
      </c>
      <c r="G140" s="12" t="s">
        <v>686</v>
      </c>
      <c r="H140" s="12" t="s">
        <v>549</v>
      </c>
      <c r="I140" s="19" t="str">
        <f aca="false">IF(COUNTIF('Jadwal 8 Minggu'!$G$5:$G$400,A140)&gt;0,"Ya","Belum")</f>
        <v>Ya</v>
      </c>
    </row>
    <row r="141" customFormat="false" ht="23.85" hidden="false" customHeight="false" outlineLevel="0" collapsed="false">
      <c r="A141" s="12" t="s">
        <v>137</v>
      </c>
      <c r="B141" s="12" t="s">
        <v>544</v>
      </c>
      <c r="C141" s="12" t="s">
        <v>687</v>
      </c>
      <c r="D141" s="12" t="s">
        <v>688</v>
      </c>
      <c r="E141" s="12" t="s">
        <v>209</v>
      </c>
      <c r="F141" s="12" t="s">
        <v>547</v>
      </c>
      <c r="G141" s="12" t="s">
        <v>689</v>
      </c>
      <c r="H141" s="12" t="s">
        <v>549</v>
      </c>
      <c r="I141" s="19" t="str">
        <f aca="false">IF(COUNTIF('Jadwal 8 Minggu'!$G$5:$G$400,A141)&gt;0,"Ya","Belum")</f>
        <v>Ya</v>
      </c>
    </row>
    <row r="142" customFormat="false" ht="23.85" hidden="false" customHeight="false" outlineLevel="0" collapsed="false">
      <c r="A142" s="12" t="s">
        <v>149</v>
      </c>
      <c r="B142" s="12" t="s">
        <v>544</v>
      </c>
      <c r="C142" s="12" t="s">
        <v>690</v>
      </c>
      <c r="D142" s="12" t="s">
        <v>691</v>
      </c>
      <c r="E142" s="12" t="s">
        <v>209</v>
      </c>
      <c r="F142" s="12" t="s">
        <v>547</v>
      </c>
      <c r="G142" s="12" t="s">
        <v>692</v>
      </c>
      <c r="H142" s="12" t="s">
        <v>549</v>
      </c>
      <c r="I142" s="19" t="str">
        <f aca="false">IF(COUNTIF('Jadwal 8 Minggu'!$G$5:$G$400,A142)&gt;0,"Ya","Belum")</f>
        <v>Ya</v>
      </c>
    </row>
    <row r="143" customFormat="false" ht="23.85" hidden="false" customHeight="false" outlineLevel="0" collapsed="false">
      <c r="A143" s="12" t="s">
        <v>693</v>
      </c>
      <c r="B143" s="12" t="s">
        <v>544</v>
      </c>
      <c r="C143" s="12" t="s">
        <v>694</v>
      </c>
      <c r="D143" s="12" t="s">
        <v>695</v>
      </c>
      <c r="E143" s="12" t="s">
        <v>209</v>
      </c>
      <c r="F143" s="12" t="s">
        <v>547</v>
      </c>
      <c r="G143" s="12" t="s">
        <v>696</v>
      </c>
      <c r="H143" s="12" t="s">
        <v>549</v>
      </c>
      <c r="I143" s="19" t="str">
        <f aca="false">IF(COUNTIF('Jadwal 8 Minggu'!$G$5:$G$400,A143)&gt;0,"Ya","Belum")</f>
        <v>Belum</v>
      </c>
    </row>
    <row r="144" customFormat="false" ht="23.85" hidden="false" customHeight="false" outlineLevel="0" collapsed="false">
      <c r="A144" s="12" t="s">
        <v>697</v>
      </c>
      <c r="B144" s="12" t="s">
        <v>544</v>
      </c>
      <c r="C144" s="12" t="s">
        <v>698</v>
      </c>
      <c r="D144" s="12" t="s">
        <v>699</v>
      </c>
      <c r="E144" s="12" t="s">
        <v>209</v>
      </c>
      <c r="F144" s="12" t="s">
        <v>547</v>
      </c>
      <c r="G144" s="12" t="s">
        <v>700</v>
      </c>
      <c r="H144" s="12" t="s">
        <v>549</v>
      </c>
      <c r="I144" s="19" t="str">
        <f aca="false">IF(COUNTIF('Jadwal 8 Minggu'!$G$5:$G$400,A144)&gt;0,"Ya","Belum")</f>
        <v>Belum</v>
      </c>
    </row>
    <row r="145" customFormat="false" ht="23.85" hidden="false" customHeight="false" outlineLevel="0" collapsed="false">
      <c r="A145" s="12" t="s">
        <v>701</v>
      </c>
      <c r="B145" s="12" t="s">
        <v>544</v>
      </c>
      <c r="C145" s="12" t="s">
        <v>702</v>
      </c>
      <c r="D145" s="12" t="s">
        <v>703</v>
      </c>
      <c r="E145" s="12" t="s">
        <v>209</v>
      </c>
      <c r="F145" s="12" t="s">
        <v>547</v>
      </c>
      <c r="G145" s="12" t="s">
        <v>704</v>
      </c>
      <c r="H145" s="12" t="s">
        <v>549</v>
      </c>
      <c r="I145" s="19" t="str">
        <f aca="false">IF(COUNTIF('Jadwal 8 Minggu'!$G$5:$G$400,A145)&gt;0,"Ya","Belum")</f>
        <v>Belum</v>
      </c>
    </row>
    <row r="146" customFormat="false" ht="23.85" hidden="false" customHeight="false" outlineLevel="0" collapsed="false">
      <c r="A146" s="12" t="s">
        <v>705</v>
      </c>
      <c r="B146" s="12" t="s">
        <v>544</v>
      </c>
      <c r="C146" s="12" t="s">
        <v>706</v>
      </c>
      <c r="D146" s="12" t="s">
        <v>707</v>
      </c>
      <c r="E146" s="12" t="s">
        <v>209</v>
      </c>
      <c r="F146" s="12" t="s">
        <v>547</v>
      </c>
      <c r="G146" s="12" t="s">
        <v>708</v>
      </c>
      <c r="H146" s="12" t="s">
        <v>549</v>
      </c>
      <c r="I146" s="19" t="str">
        <f aca="false">IF(COUNTIF('Jadwal 8 Minggu'!$G$5:$G$400,A146)&gt;0,"Ya","Belum")</f>
        <v>Belum</v>
      </c>
    </row>
    <row r="147" customFormat="false" ht="23.85" hidden="false" customHeight="false" outlineLevel="0" collapsed="false">
      <c r="A147" s="12" t="s">
        <v>709</v>
      </c>
      <c r="B147" s="12" t="s">
        <v>544</v>
      </c>
      <c r="C147" s="12" t="s">
        <v>710</v>
      </c>
      <c r="D147" s="12" t="s">
        <v>711</v>
      </c>
      <c r="E147" s="12" t="s">
        <v>209</v>
      </c>
      <c r="F147" s="12" t="s">
        <v>547</v>
      </c>
      <c r="G147" s="12" t="s">
        <v>712</v>
      </c>
      <c r="H147" s="12" t="s">
        <v>549</v>
      </c>
      <c r="I147" s="19" t="str">
        <f aca="false">IF(COUNTIF('Jadwal 8 Minggu'!$G$5:$G$400,A147)&gt;0,"Ya","Belum")</f>
        <v>Belum</v>
      </c>
    </row>
    <row r="148" customFormat="false" ht="23.85" hidden="false" customHeight="false" outlineLevel="0" collapsed="false">
      <c r="A148" s="12" t="s">
        <v>713</v>
      </c>
      <c r="B148" s="12" t="s">
        <v>544</v>
      </c>
      <c r="C148" s="12" t="s">
        <v>714</v>
      </c>
      <c r="D148" s="12" t="s">
        <v>715</v>
      </c>
      <c r="E148" s="12" t="s">
        <v>209</v>
      </c>
      <c r="F148" s="12" t="s">
        <v>547</v>
      </c>
      <c r="G148" s="12" t="s">
        <v>716</v>
      </c>
      <c r="H148" s="12" t="s">
        <v>549</v>
      </c>
      <c r="I148" s="19" t="str">
        <f aca="false">IF(COUNTIF('Jadwal 8 Minggu'!$G$5:$G$400,A148)&gt;0,"Ya","Belum")</f>
        <v>Belum</v>
      </c>
    </row>
    <row r="149" customFormat="false" ht="23.85" hidden="false" customHeight="false" outlineLevel="0" collapsed="false">
      <c r="A149" s="12" t="s">
        <v>717</v>
      </c>
      <c r="B149" s="12" t="s">
        <v>544</v>
      </c>
      <c r="C149" s="12" t="s">
        <v>718</v>
      </c>
      <c r="D149" s="12" t="s">
        <v>719</v>
      </c>
      <c r="E149" s="12" t="s">
        <v>209</v>
      </c>
      <c r="F149" s="12" t="s">
        <v>547</v>
      </c>
      <c r="G149" s="12" t="s">
        <v>720</v>
      </c>
      <c r="H149" s="12" t="s">
        <v>549</v>
      </c>
      <c r="I149" s="19" t="str">
        <f aca="false">IF(COUNTIF('Jadwal 8 Minggu'!$G$5:$G$400,A149)&gt;0,"Ya","Belum")</f>
        <v>Belum</v>
      </c>
    </row>
    <row r="150" customFormat="false" ht="23.85" hidden="false" customHeight="false" outlineLevel="0" collapsed="false">
      <c r="A150" s="12" t="s">
        <v>721</v>
      </c>
      <c r="B150" s="12" t="s">
        <v>544</v>
      </c>
      <c r="C150" s="12" t="s">
        <v>722</v>
      </c>
      <c r="D150" s="12" t="s">
        <v>723</v>
      </c>
      <c r="E150" s="12" t="s">
        <v>209</v>
      </c>
      <c r="F150" s="12" t="s">
        <v>547</v>
      </c>
      <c r="G150" s="12" t="s">
        <v>724</v>
      </c>
      <c r="H150" s="12" t="s">
        <v>549</v>
      </c>
      <c r="I150" s="19" t="str">
        <f aca="false">IF(COUNTIF('Jadwal 8 Minggu'!$G$5:$G$400,A150)&gt;0,"Ya","Belum")</f>
        <v>Belum</v>
      </c>
    </row>
    <row r="151" customFormat="false" ht="23.85" hidden="false" customHeight="false" outlineLevel="0" collapsed="false">
      <c r="A151" s="12" t="s">
        <v>725</v>
      </c>
      <c r="B151" s="12" t="s">
        <v>544</v>
      </c>
      <c r="C151" s="12" t="s">
        <v>726</v>
      </c>
      <c r="D151" s="12" t="s">
        <v>727</v>
      </c>
      <c r="E151" s="12" t="s">
        <v>209</v>
      </c>
      <c r="F151" s="12" t="s">
        <v>547</v>
      </c>
      <c r="G151" s="12" t="s">
        <v>728</v>
      </c>
      <c r="H151" s="12" t="s">
        <v>549</v>
      </c>
      <c r="I151" s="19" t="str">
        <f aca="false">IF(COUNTIF('Jadwal 8 Minggu'!$G$5:$G$400,A151)&gt;0,"Ya","Belum")</f>
        <v>Belum</v>
      </c>
    </row>
    <row r="152" customFormat="false" ht="23.85" hidden="false" customHeight="false" outlineLevel="0" collapsed="false">
      <c r="A152" s="12" t="s">
        <v>80</v>
      </c>
      <c r="B152" s="12" t="s">
        <v>544</v>
      </c>
      <c r="C152" s="12" t="s">
        <v>729</v>
      </c>
      <c r="D152" s="12" t="s">
        <v>730</v>
      </c>
      <c r="E152" s="12" t="s">
        <v>209</v>
      </c>
      <c r="F152" s="12" t="s">
        <v>547</v>
      </c>
      <c r="G152" s="12" t="s">
        <v>731</v>
      </c>
      <c r="H152" s="12" t="s">
        <v>549</v>
      </c>
      <c r="I152" s="19" t="str">
        <f aca="false">IF(COUNTIF('Jadwal 8 Minggu'!$G$5:$G$400,A152)&gt;0,"Ya","Belum")</f>
        <v>Ya</v>
      </c>
    </row>
    <row r="153" customFormat="false" ht="23.85" hidden="false" customHeight="false" outlineLevel="0" collapsed="false">
      <c r="A153" s="12" t="s">
        <v>94</v>
      </c>
      <c r="B153" s="12" t="s">
        <v>544</v>
      </c>
      <c r="C153" s="12" t="s">
        <v>732</v>
      </c>
      <c r="D153" s="12" t="s">
        <v>733</v>
      </c>
      <c r="E153" s="12" t="s">
        <v>209</v>
      </c>
      <c r="F153" s="12" t="s">
        <v>547</v>
      </c>
      <c r="G153" s="12" t="s">
        <v>734</v>
      </c>
      <c r="H153" s="12" t="s">
        <v>549</v>
      </c>
      <c r="I153" s="19" t="str">
        <f aca="false">IF(COUNTIF('Jadwal 8 Minggu'!$G$5:$G$400,A153)&gt;0,"Ya","Belum")</f>
        <v>Ya</v>
      </c>
    </row>
    <row r="154" customFormat="false" ht="23.85" hidden="false" customHeight="false" outlineLevel="0" collapsed="false">
      <c r="A154" s="12" t="s">
        <v>108</v>
      </c>
      <c r="B154" s="12" t="s">
        <v>544</v>
      </c>
      <c r="C154" s="12" t="s">
        <v>735</v>
      </c>
      <c r="D154" s="12" t="s">
        <v>736</v>
      </c>
      <c r="E154" s="12" t="s">
        <v>209</v>
      </c>
      <c r="F154" s="12" t="s">
        <v>547</v>
      </c>
      <c r="G154" s="12" t="s">
        <v>737</v>
      </c>
      <c r="H154" s="12" t="s">
        <v>549</v>
      </c>
      <c r="I154" s="19" t="str">
        <f aca="false">IF(COUNTIF('Jadwal 8 Minggu'!$G$5:$G$400,A154)&gt;0,"Ya","Belum")</f>
        <v>Ya</v>
      </c>
    </row>
    <row r="155" customFormat="false" ht="23.85" hidden="false" customHeight="false" outlineLevel="0" collapsed="false">
      <c r="A155" s="12" t="s">
        <v>126</v>
      </c>
      <c r="B155" s="12" t="s">
        <v>544</v>
      </c>
      <c r="C155" s="12" t="s">
        <v>738</v>
      </c>
      <c r="D155" s="12" t="s">
        <v>739</v>
      </c>
      <c r="E155" s="12" t="s">
        <v>209</v>
      </c>
      <c r="F155" s="12" t="s">
        <v>547</v>
      </c>
      <c r="G155" s="12" t="s">
        <v>740</v>
      </c>
      <c r="H155" s="12" t="s">
        <v>549</v>
      </c>
      <c r="I155" s="19" t="str">
        <f aca="false">IF(COUNTIF('Jadwal 8 Minggu'!$G$5:$G$400,A155)&gt;0,"Ya","Belum")</f>
        <v>Ya</v>
      </c>
    </row>
    <row r="156" customFormat="false" ht="23.85" hidden="false" customHeight="false" outlineLevel="0" collapsed="false">
      <c r="A156" s="12" t="s">
        <v>138</v>
      </c>
      <c r="B156" s="12" t="s">
        <v>544</v>
      </c>
      <c r="C156" s="12" t="s">
        <v>741</v>
      </c>
      <c r="D156" s="12" t="s">
        <v>742</v>
      </c>
      <c r="E156" s="12" t="s">
        <v>209</v>
      </c>
      <c r="F156" s="12" t="s">
        <v>547</v>
      </c>
      <c r="G156" s="12" t="s">
        <v>743</v>
      </c>
      <c r="H156" s="12" t="s">
        <v>549</v>
      </c>
      <c r="I156" s="19" t="str">
        <f aca="false">IF(COUNTIF('Jadwal 8 Minggu'!$G$5:$G$400,A156)&gt;0,"Ya","Belum")</f>
        <v>Ya</v>
      </c>
    </row>
    <row r="157" customFormat="false" ht="23.85" hidden="false" customHeight="false" outlineLevel="0" collapsed="false">
      <c r="A157" s="12" t="s">
        <v>151</v>
      </c>
      <c r="B157" s="12" t="s">
        <v>544</v>
      </c>
      <c r="C157" s="12" t="s">
        <v>744</v>
      </c>
      <c r="D157" s="12" t="s">
        <v>745</v>
      </c>
      <c r="E157" s="12" t="s">
        <v>209</v>
      </c>
      <c r="F157" s="12" t="s">
        <v>547</v>
      </c>
      <c r="G157" s="12" t="s">
        <v>746</v>
      </c>
      <c r="H157" s="12" t="s">
        <v>549</v>
      </c>
      <c r="I157" s="19" t="str">
        <f aca="false">IF(COUNTIF('Jadwal 8 Minggu'!$G$5:$G$400,A157)&gt;0,"Ya","Belum")</f>
        <v>Ya</v>
      </c>
    </row>
    <row r="158" customFormat="false" ht="23.85" hidden="false" customHeight="false" outlineLevel="0" collapsed="false">
      <c r="A158" s="12" t="s">
        <v>747</v>
      </c>
      <c r="B158" s="12" t="s">
        <v>544</v>
      </c>
      <c r="C158" s="12" t="s">
        <v>748</v>
      </c>
      <c r="D158" s="12" t="s">
        <v>749</v>
      </c>
      <c r="E158" s="12" t="s">
        <v>209</v>
      </c>
      <c r="F158" s="12" t="s">
        <v>547</v>
      </c>
      <c r="G158" s="12" t="s">
        <v>750</v>
      </c>
      <c r="H158" s="12" t="s">
        <v>549</v>
      </c>
      <c r="I158" s="19" t="str">
        <f aca="false">IF(COUNTIF('Jadwal 8 Minggu'!$G$5:$G$400,A158)&gt;0,"Ya","Belum")</f>
        <v>Belum</v>
      </c>
    </row>
    <row r="159" customFormat="false" ht="23.85" hidden="false" customHeight="false" outlineLevel="0" collapsed="false">
      <c r="A159" s="12" t="s">
        <v>751</v>
      </c>
      <c r="B159" s="12" t="s">
        <v>544</v>
      </c>
      <c r="C159" s="12" t="s">
        <v>752</v>
      </c>
      <c r="D159" s="12" t="s">
        <v>753</v>
      </c>
      <c r="E159" s="12" t="s">
        <v>209</v>
      </c>
      <c r="F159" s="12" t="s">
        <v>547</v>
      </c>
      <c r="G159" s="12" t="s">
        <v>754</v>
      </c>
      <c r="H159" s="12" t="s">
        <v>549</v>
      </c>
      <c r="I159" s="19" t="str">
        <f aca="false">IF(COUNTIF('Jadwal 8 Minggu'!$G$5:$G$400,A159)&gt;0,"Ya","Belum")</f>
        <v>Belum</v>
      </c>
    </row>
    <row r="160" customFormat="false" ht="23.85" hidden="false" customHeight="false" outlineLevel="0" collapsed="false">
      <c r="A160" s="12" t="s">
        <v>755</v>
      </c>
      <c r="B160" s="12" t="s">
        <v>544</v>
      </c>
      <c r="C160" s="12" t="s">
        <v>756</v>
      </c>
      <c r="D160" s="12" t="s">
        <v>757</v>
      </c>
      <c r="E160" s="12" t="s">
        <v>209</v>
      </c>
      <c r="F160" s="12" t="s">
        <v>547</v>
      </c>
      <c r="G160" s="12" t="s">
        <v>758</v>
      </c>
      <c r="H160" s="12" t="s">
        <v>549</v>
      </c>
      <c r="I160" s="19" t="str">
        <f aca="false">IF(COUNTIF('Jadwal 8 Minggu'!$G$5:$G$400,A160)&gt;0,"Ya","Belum")</f>
        <v>Belum</v>
      </c>
    </row>
    <row r="161" customFormat="false" ht="23.85" hidden="false" customHeight="false" outlineLevel="0" collapsed="false">
      <c r="A161" s="12" t="s">
        <v>759</v>
      </c>
      <c r="B161" s="12" t="s">
        <v>544</v>
      </c>
      <c r="C161" s="12" t="s">
        <v>760</v>
      </c>
      <c r="D161" s="12" t="s">
        <v>761</v>
      </c>
      <c r="E161" s="12" t="s">
        <v>209</v>
      </c>
      <c r="F161" s="12" t="s">
        <v>547</v>
      </c>
      <c r="G161" s="12" t="s">
        <v>762</v>
      </c>
      <c r="H161" s="12" t="s">
        <v>549</v>
      </c>
      <c r="I161" s="19" t="str">
        <f aca="false">IF(COUNTIF('Jadwal 8 Minggu'!$G$5:$G$400,A161)&gt;0,"Ya","Belum")</f>
        <v>Belum</v>
      </c>
    </row>
    <row r="162" customFormat="false" ht="35.05" hidden="false" customHeight="false" outlineLevel="0" collapsed="false">
      <c r="A162" s="12" t="s">
        <v>56</v>
      </c>
      <c r="B162" s="12" t="s">
        <v>763</v>
      </c>
      <c r="C162" s="12" t="s">
        <v>764</v>
      </c>
      <c r="D162" s="12" t="s">
        <v>765</v>
      </c>
      <c r="E162" s="12"/>
      <c r="F162" s="12"/>
      <c r="G162" s="12" t="s">
        <v>766</v>
      </c>
      <c r="H162" s="12" t="s">
        <v>767</v>
      </c>
      <c r="I162" s="19" t="str">
        <f aca="false">IF(COUNTIF('Jadwal 8 Minggu'!$G$5:$G$400,A162)&gt;0,"Ya","Belum")</f>
        <v>Ya</v>
      </c>
    </row>
    <row r="163" customFormat="false" ht="23.85" hidden="false" customHeight="false" outlineLevel="0" collapsed="false">
      <c r="A163" s="12" t="s">
        <v>69</v>
      </c>
      <c r="B163" s="12" t="s">
        <v>768</v>
      </c>
      <c r="C163" s="12" t="s">
        <v>769</v>
      </c>
      <c r="D163" s="12" t="s">
        <v>765</v>
      </c>
      <c r="E163" s="12"/>
      <c r="F163" s="12"/>
      <c r="G163" s="12" t="s">
        <v>770</v>
      </c>
      <c r="H163" s="12" t="s">
        <v>70</v>
      </c>
      <c r="I163" s="19" t="str">
        <f aca="false">IF(COUNTIF('Jadwal 8 Minggu'!$G$5:$G$400,A163)&gt;0,"Ya","Belum")</f>
        <v>Ya</v>
      </c>
    </row>
    <row r="164" customFormat="false" ht="23.85" hidden="false" customHeight="false" outlineLevel="0" collapsed="false">
      <c r="A164" s="12" t="s">
        <v>87</v>
      </c>
      <c r="B164" s="12" t="s">
        <v>771</v>
      </c>
      <c r="C164" s="12" t="s">
        <v>772</v>
      </c>
      <c r="D164" s="12" t="s">
        <v>773</v>
      </c>
      <c r="E164" s="12"/>
      <c r="F164" s="12"/>
      <c r="G164" s="12" t="s">
        <v>774</v>
      </c>
      <c r="H164" s="12"/>
      <c r="I164" s="19" t="str">
        <f aca="false">IF(COUNTIF('Jadwal 8 Minggu'!$G$5:$G$400,A164)&gt;0,"Ya","Belum")</f>
        <v>Ya</v>
      </c>
    </row>
    <row r="165" customFormat="false" ht="15" hidden="false" customHeight="false" outlineLevel="0" collapsed="false">
      <c r="A165" s="12" t="s">
        <v>103</v>
      </c>
      <c r="B165" s="12" t="s">
        <v>771</v>
      </c>
      <c r="C165" s="12" t="s">
        <v>775</v>
      </c>
      <c r="D165" s="12" t="s">
        <v>776</v>
      </c>
      <c r="E165" s="12"/>
      <c r="F165" s="12"/>
      <c r="G165" s="12" t="s">
        <v>777</v>
      </c>
      <c r="H165" s="12"/>
      <c r="I165" s="19" t="str">
        <f aca="false">IF(COUNTIF('Jadwal 8 Minggu'!$G$5:$G$400,A165)&gt;0,"Ya","Belum")</f>
        <v>Ya</v>
      </c>
    </row>
    <row r="166" customFormat="false" ht="15" hidden="false" customHeight="false" outlineLevel="0" collapsed="false">
      <c r="A166" s="12" t="s">
        <v>120</v>
      </c>
      <c r="B166" s="12" t="s">
        <v>771</v>
      </c>
      <c r="C166" s="12" t="s">
        <v>778</v>
      </c>
      <c r="D166" s="12" t="s">
        <v>779</v>
      </c>
      <c r="E166" s="12"/>
      <c r="F166" s="12"/>
      <c r="G166" s="12" t="s">
        <v>780</v>
      </c>
      <c r="H166" s="12"/>
      <c r="I166" s="19" t="str">
        <f aca="false">IF(COUNTIF('Jadwal 8 Minggu'!$G$5:$G$400,A166)&gt;0,"Ya","Belum")</f>
        <v>Ya</v>
      </c>
    </row>
    <row r="167" customFormat="false" ht="15" hidden="false" customHeight="false" outlineLevel="0" collapsed="false">
      <c r="A167" s="12" t="s">
        <v>136</v>
      </c>
      <c r="B167" s="12" t="s">
        <v>771</v>
      </c>
      <c r="C167" s="12" t="s">
        <v>781</v>
      </c>
      <c r="D167" s="12" t="s">
        <v>782</v>
      </c>
      <c r="E167" s="12"/>
      <c r="F167" s="12"/>
      <c r="G167" s="12" t="s">
        <v>783</v>
      </c>
      <c r="H167" s="12"/>
      <c r="I167" s="19" t="str">
        <f aca="false">IF(COUNTIF('Jadwal 8 Minggu'!$G$5:$G$400,A167)&gt;0,"Ya","Belum")</f>
        <v>Ya</v>
      </c>
    </row>
    <row r="168" customFormat="false" ht="35.05" hidden="false" customHeight="false" outlineLevel="0" collapsed="false">
      <c r="A168" s="12" t="s">
        <v>65</v>
      </c>
      <c r="B168" s="12" t="s">
        <v>784</v>
      </c>
      <c r="C168" s="12" t="s">
        <v>785</v>
      </c>
      <c r="D168" s="12" t="s">
        <v>786</v>
      </c>
      <c r="E168" s="12"/>
      <c r="F168" s="12"/>
      <c r="G168" s="12" t="s">
        <v>787</v>
      </c>
      <c r="H168" s="12" t="s">
        <v>788</v>
      </c>
      <c r="I168" s="19" t="str">
        <f aca="false">IF(COUNTIF('Jadwal 8 Minggu'!$G$5:$G$400,A168)&gt;0,"Ya","Belum")</f>
        <v>Ya</v>
      </c>
    </row>
    <row r="169" customFormat="false" ht="23.85" hidden="false" customHeight="false" outlineLevel="0" collapsed="false">
      <c r="A169" s="12" t="s">
        <v>789</v>
      </c>
      <c r="B169" s="12" t="s">
        <v>784</v>
      </c>
      <c r="C169" s="12" t="s">
        <v>790</v>
      </c>
      <c r="D169" s="12" t="s">
        <v>791</v>
      </c>
      <c r="E169" s="12"/>
      <c r="F169" s="12"/>
      <c r="G169" s="12" t="s">
        <v>792</v>
      </c>
      <c r="H169" s="12" t="s">
        <v>793</v>
      </c>
      <c r="I169" s="19" t="str">
        <f aca="false">IF(COUNTIF('Jadwal 8 Minggu'!$G$5:$G$400,A169)&gt;0,"Ya","Belum")</f>
        <v>Belum</v>
      </c>
    </row>
    <row r="170" customFormat="false" ht="23.85" hidden="false" customHeight="false" outlineLevel="0" collapsed="false">
      <c r="A170" s="12" t="s">
        <v>111</v>
      </c>
      <c r="B170" s="12" t="s">
        <v>784</v>
      </c>
      <c r="C170" s="12" t="s">
        <v>794</v>
      </c>
      <c r="D170" s="12" t="s">
        <v>795</v>
      </c>
      <c r="E170" s="12"/>
      <c r="F170" s="12"/>
      <c r="G170" s="12" t="s">
        <v>796</v>
      </c>
      <c r="H170" s="12" t="s">
        <v>793</v>
      </c>
      <c r="I170" s="19" t="str">
        <f aca="false">IF(COUNTIF('Jadwal 8 Minggu'!$G$5:$G$400,A170)&gt;0,"Ya","Belum")</f>
        <v>Ya</v>
      </c>
    </row>
    <row r="171" customFormat="false" ht="23.85" hidden="false" customHeight="false" outlineLevel="0" collapsed="false">
      <c r="A171" s="12" t="s">
        <v>150</v>
      </c>
      <c r="B171" s="12" t="s">
        <v>784</v>
      </c>
      <c r="C171" s="12" t="s">
        <v>797</v>
      </c>
      <c r="D171" s="12" t="s">
        <v>798</v>
      </c>
      <c r="E171" s="12"/>
      <c r="F171" s="12"/>
      <c r="G171" s="12" t="s">
        <v>799</v>
      </c>
      <c r="H171" s="12" t="s">
        <v>788</v>
      </c>
      <c r="I171" s="19" t="str">
        <f aca="false">IF(COUNTIF('Jadwal 8 Minggu'!$G$5:$G$400,A171)&gt;0,"Ya","Belum")</f>
        <v>Ya</v>
      </c>
    </row>
    <row r="172" customFormat="false" ht="23.85" hidden="false" customHeight="false" outlineLevel="0" collapsed="false">
      <c r="A172" s="12" t="s">
        <v>800</v>
      </c>
      <c r="B172" s="12" t="s">
        <v>784</v>
      </c>
      <c r="C172" s="12" t="s">
        <v>801</v>
      </c>
      <c r="D172" s="12" t="s">
        <v>802</v>
      </c>
      <c r="E172" s="12"/>
      <c r="F172" s="12"/>
      <c r="G172" s="12" t="s">
        <v>803</v>
      </c>
      <c r="H172" s="12" t="s">
        <v>804</v>
      </c>
      <c r="I172" s="19" t="str">
        <f aca="false">IF(COUNTIF('Jadwal 8 Minggu'!$G$5:$G$400,A172)&gt;0,"Ya","Belum")</f>
        <v>Belum</v>
      </c>
    </row>
    <row r="173" customFormat="false" ht="23.85" hidden="false" customHeight="false" outlineLevel="0" collapsed="false">
      <c r="A173" s="12" t="s">
        <v>805</v>
      </c>
      <c r="B173" s="12" t="s">
        <v>784</v>
      </c>
      <c r="C173" s="12" t="s">
        <v>806</v>
      </c>
      <c r="D173" s="12" t="s">
        <v>807</v>
      </c>
      <c r="E173" s="12"/>
      <c r="F173" s="12"/>
      <c r="G173" s="12" t="s">
        <v>808</v>
      </c>
      <c r="H173" s="12" t="s">
        <v>809</v>
      </c>
      <c r="I173" s="19" t="str">
        <f aca="false">IF(COUNTIF('Jadwal 8 Minggu'!$G$5:$G$400,A173)&gt;0,"Ya","Belum")</f>
        <v>Belum</v>
      </c>
    </row>
    <row r="174" customFormat="false" ht="23.85" hidden="false" customHeight="false" outlineLevel="0" collapsed="false">
      <c r="A174" s="12" t="s">
        <v>810</v>
      </c>
      <c r="B174" s="12" t="s">
        <v>784</v>
      </c>
      <c r="C174" s="12" t="s">
        <v>811</v>
      </c>
      <c r="D174" s="12" t="s">
        <v>812</v>
      </c>
      <c r="E174" s="12"/>
      <c r="F174" s="12"/>
      <c r="G174" s="12" t="s">
        <v>813</v>
      </c>
      <c r="H174" s="12" t="s">
        <v>788</v>
      </c>
      <c r="I174" s="19" t="str">
        <f aca="false">IF(COUNTIF('Jadwal 8 Minggu'!$G$5:$G$400,A174)&gt;0,"Ya","Belum")</f>
        <v>Belum</v>
      </c>
    </row>
    <row r="175" customFormat="false" ht="15" hidden="false" customHeight="false" outlineLevel="0" collapsed="false">
      <c r="A175" s="12" t="s">
        <v>814</v>
      </c>
      <c r="B175" s="12" t="s">
        <v>784</v>
      </c>
      <c r="C175" s="12" t="s">
        <v>815</v>
      </c>
      <c r="D175" s="12" t="s">
        <v>816</v>
      </c>
      <c r="E175" s="12"/>
      <c r="F175" s="12"/>
      <c r="G175" s="12" t="s">
        <v>817</v>
      </c>
      <c r="H175" s="12" t="s">
        <v>793</v>
      </c>
      <c r="I175" s="19" t="str">
        <f aca="false">IF(COUNTIF('Jadwal 8 Minggu'!$G$5:$G$400,A175)&gt;0,"Ya","Belum")</f>
        <v>Belum</v>
      </c>
    </row>
    <row r="176" customFormat="false" ht="23.85" hidden="false" customHeight="false" outlineLevel="0" collapsed="false">
      <c r="A176" s="12" t="s">
        <v>818</v>
      </c>
      <c r="B176" s="12" t="s">
        <v>784</v>
      </c>
      <c r="C176" s="12" t="s">
        <v>819</v>
      </c>
      <c r="D176" s="12" t="s">
        <v>820</v>
      </c>
      <c r="E176" s="12"/>
      <c r="F176" s="12"/>
      <c r="G176" s="12" t="s">
        <v>821</v>
      </c>
      <c r="H176" s="12" t="s">
        <v>788</v>
      </c>
      <c r="I176" s="19" t="str">
        <f aca="false">IF(COUNTIF('Jadwal 8 Minggu'!$G$5:$G$400,A176)&gt;0,"Ya","Belum")</f>
        <v>Belum</v>
      </c>
    </row>
    <row r="177" customFormat="false" ht="23.85" hidden="false" customHeight="false" outlineLevel="0" collapsed="false">
      <c r="A177" s="12" t="s">
        <v>822</v>
      </c>
      <c r="B177" s="12" t="s">
        <v>784</v>
      </c>
      <c r="C177" s="12" t="s">
        <v>823</v>
      </c>
      <c r="D177" s="12" t="s">
        <v>824</v>
      </c>
      <c r="E177" s="12"/>
      <c r="F177" s="12"/>
      <c r="G177" s="12" t="s">
        <v>825</v>
      </c>
      <c r="H177" s="12" t="s">
        <v>826</v>
      </c>
      <c r="I177" s="19" t="str">
        <f aca="false">IF(COUNTIF('Jadwal 8 Minggu'!$G$5:$G$400,A177)&gt;0,"Ya","Belum")</f>
        <v>Belum</v>
      </c>
    </row>
    <row r="178" customFormat="false" ht="23.85" hidden="false" customHeight="false" outlineLevel="0" collapsed="false">
      <c r="A178" s="12" t="s">
        <v>78</v>
      </c>
      <c r="B178" s="12" t="s">
        <v>827</v>
      </c>
      <c r="C178" s="12" t="s">
        <v>828</v>
      </c>
      <c r="D178" s="12" t="s">
        <v>829</v>
      </c>
      <c r="E178" s="12"/>
      <c r="F178" s="12"/>
      <c r="G178" s="12" t="s">
        <v>830</v>
      </c>
      <c r="H178" s="12" t="s">
        <v>831</v>
      </c>
      <c r="I178" s="19" t="str">
        <f aca="false">IF(COUNTIF('Jadwal 8 Minggu'!$G$5:$G$400,A178)&gt;0,"Ya","Belum")</f>
        <v>Ya</v>
      </c>
    </row>
    <row r="179" customFormat="false" ht="23.85" hidden="false" customHeight="false" outlineLevel="0" collapsed="false">
      <c r="A179" s="12" t="s">
        <v>117</v>
      </c>
      <c r="B179" s="12" t="s">
        <v>827</v>
      </c>
      <c r="C179" s="12" t="s">
        <v>832</v>
      </c>
      <c r="D179" s="12" t="s">
        <v>833</v>
      </c>
      <c r="E179" s="12"/>
      <c r="F179" s="12"/>
      <c r="G179" s="12" t="s">
        <v>834</v>
      </c>
      <c r="H179" s="12" t="s">
        <v>793</v>
      </c>
      <c r="I179" s="19" t="str">
        <f aca="false">IF(COUNTIF('Jadwal 8 Minggu'!$G$5:$G$400,A179)&gt;0,"Ya","Belum")</f>
        <v>Ya</v>
      </c>
    </row>
    <row r="180" customFormat="false" ht="23.85" hidden="false" customHeight="false" outlineLevel="0" collapsed="false">
      <c r="A180" s="12" t="s">
        <v>155</v>
      </c>
      <c r="B180" s="12" t="s">
        <v>827</v>
      </c>
      <c r="C180" s="12" t="s">
        <v>835</v>
      </c>
      <c r="D180" s="12" t="s">
        <v>836</v>
      </c>
      <c r="E180" s="12"/>
      <c r="F180" s="12"/>
      <c r="G180" s="12" t="s">
        <v>837</v>
      </c>
      <c r="H180" s="12" t="s">
        <v>838</v>
      </c>
      <c r="I180" s="19" t="str">
        <f aca="false">IF(COUNTIF('Jadwal 8 Minggu'!$G$5:$G$400,A180)&gt;0,"Ya","Belum")</f>
        <v>Ya</v>
      </c>
    </row>
    <row r="181" customFormat="false" ht="23.85" hidden="false" customHeight="false" outlineLevel="0" collapsed="false">
      <c r="A181" s="12" t="s">
        <v>839</v>
      </c>
      <c r="B181" s="12" t="s">
        <v>827</v>
      </c>
      <c r="C181" s="12" t="s">
        <v>840</v>
      </c>
      <c r="D181" s="12" t="s">
        <v>841</v>
      </c>
      <c r="E181" s="12"/>
      <c r="F181" s="12"/>
      <c r="G181" s="12" t="s">
        <v>842</v>
      </c>
      <c r="H181" s="12" t="s">
        <v>788</v>
      </c>
      <c r="I181" s="19" t="str">
        <f aca="false">IF(COUNTIF('Jadwal 8 Minggu'!$G$5:$G$400,A181)&gt;0,"Ya","Belum")</f>
        <v>Belum</v>
      </c>
    </row>
    <row r="182" customFormat="false" ht="23.85" hidden="false" customHeight="false" outlineLevel="0" collapsed="false">
      <c r="A182" s="12" t="s">
        <v>843</v>
      </c>
      <c r="B182" s="12" t="s">
        <v>827</v>
      </c>
      <c r="C182" s="12" t="s">
        <v>844</v>
      </c>
      <c r="D182" s="12" t="s">
        <v>845</v>
      </c>
      <c r="E182" s="12"/>
      <c r="F182" s="12"/>
      <c r="G182" s="12" t="s">
        <v>846</v>
      </c>
      <c r="H182" s="12" t="s">
        <v>847</v>
      </c>
      <c r="I182" s="19" t="str">
        <f aca="false">IF(COUNTIF('Jadwal 8 Minggu'!$G$5:$G$400,A182)&gt;0,"Ya","Belum")</f>
        <v>Belum</v>
      </c>
    </row>
    <row r="183" customFormat="false" ht="23.85" hidden="false" customHeight="false" outlineLevel="0" collapsed="false">
      <c r="A183" s="12" t="s">
        <v>848</v>
      </c>
      <c r="B183" s="12" t="s">
        <v>827</v>
      </c>
      <c r="C183" s="12" t="s">
        <v>849</v>
      </c>
      <c r="D183" s="12" t="s">
        <v>850</v>
      </c>
      <c r="E183" s="12"/>
      <c r="F183" s="12"/>
      <c r="G183" s="12" t="s">
        <v>851</v>
      </c>
      <c r="H183" s="12" t="s">
        <v>838</v>
      </c>
      <c r="I183" s="19" t="str">
        <f aca="false">IF(COUNTIF('Jadwal 8 Minggu'!$G$5:$G$400,A183)&gt;0,"Ya","Belum")</f>
        <v>Belum</v>
      </c>
    </row>
    <row r="184" customFormat="false" ht="23.85" hidden="false" customHeight="false" outlineLevel="0" collapsed="false">
      <c r="A184" s="12" t="s">
        <v>852</v>
      </c>
      <c r="B184" s="12" t="s">
        <v>827</v>
      </c>
      <c r="C184" s="12" t="s">
        <v>853</v>
      </c>
      <c r="D184" s="12" t="s">
        <v>854</v>
      </c>
      <c r="E184" s="12"/>
      <c r="F184" s="12"/>
      <c r="G184" s="12" t="s">
        <v>855</v>
      </c>
      <c r="H184" s="12" t="s">
        <v>847</v>
      </c>
      <c r="I184" s="19" t="str">
        <f aca="false">IF(COUNTIF('Jadwal 8 Minggu'!$G$5:$G$400,A184)&gt;0,"Ya","Belum")</f>
        <v>Belum</v>
      </c>
    </row>
    <row r="185" customFormat="false" ht="23.85" hidden="false" customHeight="false" outlineLevel="0" collapsed="false">
      <c r="A185" s="12" t="s">
        <v>856</v>
      </c>
      <c r="B185" s="12" t="s">
        <v>827</v>
      </c>
      <c r="C185" s="12" t="s">
        <v>857</v>
      </c>
      <c r="D185" s="12" t="s">
        <v>858</v>
      </c>
      <c r="E185" s="12"/>
      <c r="F185" s="12"/>
      <c r="G185" s="12" t="s">
        <v>859</v>
      </c>
      <c r="H185" s="12" t="s">
        <v>860</v>
      </c>
      <c r="I185" s="19" t="str">
        <f aca="false">IF(COUNTIF('Jadwal 8 Minggu'!$G$5:$G$400,A185)&gt;0,"Ya","Belum")</f>
        <v>Belum</v>
      </c>
    </row>
    <row r="186" customFormat="false" ht="23.85" hidden="false" customHeight="false" outlineLevel="0" collapsed="false">
      <c r="A186" s="12" t="s">
        <v>861</v>
      </c>
      <c r="B186" s="12" t="s">
        <v>827</v>
      </c>
      <c r="C186" s="12" t="s">
        <v>862</v>
      </c>
      <c r="D186" s="12" t="s">
        <v>863</v>
      </c>
      <c r="E186" s="12"/>
      <c r="F186" s="12"/>
      <c r="G186" s="12" t="s">
        <v>864</v>
      </c>
      <c r="H186" s="12" t="s">
        <v>788</v>
      </c>
      <c r="I186" s="19" t="str">
        <f aca="false">IF(COUNTIF('Jadwal 8 Minggu'!$G$5:$G$400,A186)&gt;0,"Ya","Belum")</f>
        <v>Belum</v>
      </c>
    </row>
    <row r="187" customFormat="false" ht="23.85" hidden="false" customHeight="false" outlineLevel="0" collapsed="false">
      <c r="A187" s="12" t="s">
        <v>865</v>
      </c>
      <c r="B187" s="12" t="s">
        <v>827</v>
      </c>
      <c r="C187" s="12" t="s">
        <v>866</v>
      </c>
      <c r="D187" s="12" t="s">
        <v>867</v>
      </c>
      <c r="E187" s="12"/>
      <c r="F187" s="12"/>
      <c r="G187" s="12" t="s">
        <v>868</v>
      </c>
      <c r="H187" s="12" t="s">
        <v>847</v>
      </c>
      <c r="I187" s="19" t="str">
        <f aca="false">IF(COUNTIF('Jadwal 8 Minggu'!$G$5:$G$400,A187)&gt;0,"Ya","Belum")</f>
        <v>Belum</v>
      </c>
    </row>
    <row r="188" customFormat="false" ht="23.85" hidden="false" customHeight="false" outlineLevel="0" collapsed="false">
      <c r="A188" s="12" t="s">
        <v>84</v>
      </c>
      <c r="B188" s="12" t="s">
        <v>869</v>
      </c>
      <c r="C188" s="12" t="s">
        <v>870</v>
      </c>
      <c r="D188" s="12" t="s">
        <v>871</v>
      </c>
      <c r="E188" s="12"/>
      <c r="F188" s="12"/>
      <c r="G188" s="12" t="s">
        <v>872</v>
      </c>
      <c r="H188" s="12" t="s">
        <v>826</v>
      </c>
      <c r="I188" s="19" t="str">
        <f aca="false">IF(COUNTIF('Jadwal 8 Minggu'!$G$5:$G$400,A188)&gt;0,"Ya","Belum")</f>
        <v>Ya</v>
      </c>
    </row>
    <row r="189" customFormat="false" ht="23.85" hidden="false" customHeight="false" outlineLevel="0" collapsed="false">
      <c r="A189" s="12" t="s">
        <v>125</v>
      </c>
      <c r="B189" s="12" t="s">
        <v>869</v>
      </c>
      <c r="C189" s="12" t="s">
        <v>873</v>
      </c>
      <c r="D189" s="12" t="s">
        <v>874</v>
      </c>
      <c r="E189" s="12"/>
      <c r="F189" s="12"/>
      <c r="G189" s="12" t="s">
        <v>875</v>
      </c>
      <c r="H189" s="12" t="s">
        <v>788</v>
      </c>
      <c r="I189" s="19" t="str">
        <f aca="false">IF(COUNTIF('Jadwal 8 Minggu'!$G$5:$G$400,A189)&gt;0,"Ya","Belum")</f>
        <v>Ya</v>
      </c>
    </row>
    <row r="190" customFormat="false" ht="23.85" hidden="false" customHeight="false" outlineLevel="0" collapsed="false">
      <c r="A190" s="12" t="s">
        <v>876</v>
      </c>
      <c r="B190" s="12" t="s">
        <v>869</v>
      </c>
      <c r="C190" s="12" t="s">
        <v>877</v>
      </c>
      <c r="D190" s="12" t="s">
        <v>878</v>
      </c>
      <c r="E190" s="12"/>
      <c r="F190" s="12"/>
      <c r="G190" s="12" t="s">
        <v>879</v>
      </c>
      <c r="H190" s="12" t="s">
        <v>788</v>
      </c>
      <c r="I190" s="19" t="str">
        <f aca="false">IF(COUNTIF('Jadwal 8 Minggu'!$G$5:$G$400,A190)&gt;0,"Ya","Belum")</f>
        <v>Belum</v>
      </c>
    </row>
    <row r="191" customFormat="false" ht="23.85" hidden="false" customHeight="false" outlineLevel="0" collapsed="false">
      <c r="A191" s="12" t="s">
        <v>880</v>
      </c>
      <c r="B191" s="12" t="s">
        <v>869</v>
      </c>
      <c r="C191" s="12" t="s">
        <v>881</v>
      </c>
      <c r="D191" s="12" t="s">
        <v>882</v>
      </c>
      <c r="E191" s="12"/>
      <c r="F191" s="12"/>
      <c r="G191" s="12" t="s">
        <v>883</v>
      </c>
      <c r="H191" s="12" t="s">
        <v>860</v>
      </c>
      <c r="I191" s="19" t="str">
        <f aca="false">IF(COUNTIF('Jadwal 8 Minggu'!$G$5:$G$400,A191)&gt;0,"Ya","Belum")</f>
        <v>Belum</v>
      </c>
    </row>
    <row r="192" customFormat="false" ht="23.85" hidden="false" customHeight="false" outlineLevel="0" collapsed="false">
      <c r="A192" s="12" t="s">
        <v>884</v>
      </c>
      <c r="B192" s="12" t="s">
        <v>869</v>
      </c>
      <c r="C192" s="12" t="s">
        <v>885</v>
      </c>
      <c r="D192" s="12" t="s">
        <v>886</v>
      </c>
      <c r="E192" s="12"/>
      <c r="F192" s="12"/>
      <c r="G192" s="12" t="s">
        <v>887</v>
      </c>
      <c r="H192" s="12" t="s">
        <v>860</v>
      </c>
      <c r="I192" s="19" t="str">
        <f aca="false">IF(COUNTIF('Jadwal 8 Minggu'!$G$5:$G$400,A192)&gt;0,"Ya","Belum")</f>
        <v>Belum</v>
      </c>
    </row>
    <row r="193" customFormat="false" ht="23.85" hidden="false" customHeight="false" outlineLevel="0" collapsed="false">
      <c r="A193" s="12" t="s">
        <v>888</v>
      </c>
      <c r="B193" s="12" t="s">
        <v>869</v>
      </c>
      <c r="C193" s="12" t="s">
        <v>889</v>
      </c>
      <c r="D193" s="12" t="s">
        <v>890</v>
      </c>
      <c r="E193" s="12"/>
      <c r="F193" s="12"/>
      <c r="G193" s="12" t="s">
        <v>891</v>
      </c>
      <c r="H193" s="12" t="s">
        <v>838</v>
      </c>
      <c r="I193" s="19" t="str">
        <f aca="false">IF(COUNTIF('Jadwal 8 Minggu'!$G$5:$G$400,A193)&gt;0,"Ya","Belum")</f>
        <v>Belum</v>
      </c>
    </row>
    <row r="194" customFormat="false" ht="15" hidden="false" customHeight="false" outlineLevel="0" collapsed="false">
      <c r="A194" s="12" t="s">
        <v>892</v>
      </c>
      <c r="B194" s="12" t="s">
        <v>869</v>
      </c>
      <c r="C194" s="12" t="s">
        <v>893</v>
      </c>
      <c r="D194" s="12" t="s">
        <v>894</v>
      </c>
      <c r="E194" s="12"/>
      <c r="F194" s="12"/>
      <c r="G194" s="12" t="s">
        <v>895</v>
      </c>
      <c r="H194" s="12" t="s">
        <v>847</v>
      </c>
      <c r="I194" s="19" t="str">
        <f aca="false">IF(COUNTIF('Jadwal 8 Minggu'!$G$5:$G$400,A194)&gt;0,"Ya","Belum")</f>
        <v>Belum</v>
      </c>
    </row>
    <row r="195" customFormat="false" ht="23.85" hidden="false" customHeight="false" outlineLevel="0" collapsed="false">
      <c r="A195" s="12" t="s">
        <v>896</v>
      </c>
      <c r="B195" s="12" t="s">
        <v>869</v>
      </c>
      <c r="C195" s="12" t="s">
        <v>897</v>
      </c>
      <c r="D195" s="12" t="s">
        <v>898</v>
      </c>
      <c r="E195" s="12"/>
      <c r="F195" s="12"/>
      <c r="G195" s="12" t="s">
        <v>899</v>
      </c>
      <c r="H195" s="12" t="s">
        <v>793</v>
      </c>
      <c r="I195" s="19" t="str">
        <f aca="false">IF(COUNTIF('Jadwal 8 Minggu'!$G$5:$G$400,A195)&gt;0,"Ya","Belum")</f>
        <v>Belum</v>
      </c>
    </row>
    <row r="196" customFormat="false" ht="23.85" hidden="false" customHeight="false" outlineLevel="0" collapsed="false">
      <c r="A196" s="12" t="s">
        <v>900</v>
      </c>
      <c r="B196" s="12" t="s">
        <v>869</v>
      </c>
      <c r="C196" s="12" t="s">
        <v>901</v>
      </c>
      <c r="D196" s="12" t="s">
        <v>902</v>
      </c>
      <c r="E196" s="12"/>
      <c r="F196" s="12"/>
      <c r="G196" s="12" t="s">
        <v>903</v>
      </c>
      <c r="H196" s="12" t="s">
        <v>793</v>
      </c>
      <c r="I196" s="19" t="str">
        <f aca="false">IF(COUNTIF('Jadwal 8 Minggu'!$G$5:$G$400,A196)&gt;0,"Ya","Belum")</f>
        <v>Belum</v>
      </c>
    </row>
    <row r="197" customFormat="false" ht="23.85" hidden="false" customHeight="false" outlineLevel="0" collapsed="false">
      <c r="A197" s="12" t="s">
        <v>904</v>
      </c>
      <c r="B197" s="12" t="s">
        <v>869</v>
      </c>
      <c r="C197" s="12" t="s">
        <v>905</v>
      </c>
      <c r="D197" s="12" t="s">
        <v>906</v>
      </c>
      <c r="E197" s="12"/>
      <c r="F197" s="12"/>
      <c r="G197" s="12" t="s">
        <v>907</v>
      </c>
      <c r="H197" s="12" t="s">
        <v>908</v>
      </c>
      <c r="I197" s="19" t="str">
        <f aca="false">IF(COUNTIF('Jadwal 8 Minggu'!$G$5:$G$400,A197)&gt;0,"Ya","Belum")</f>
        <v>Belum</v>
      </c>
    </row>
    <row r="198" customFormat="false" ht="23.85" hidden="false" customHeight="false" outlineLevel="0" collapsed="false">
      <c r="A198" s="12" t="s">
        <v>92</v>
      </c>
      <c r="B198" s="12" t="s">
        <v>784</v>
      </c>
      <c r="C198" s="12" t="s">
        <v>909</v>
      </c>
      <c r="D198" s="12" t="s">
        <v>910</v>
      </c>
      <c r="E198" s="12"/>
      <c r="F198" s="12"/>
      <c r="G198" s="12" t="s">
        <v>911</v>
      </c>
      <c r="H198" s="12" t="s">
        <v>838</v>
      </c>
      <c r="I198" s="19" t="str">
        <f aca="false">IF(COUNTIF('Jadwal 8 Minggu'!$G$5:$G$400,A198)&gt;0,"Ya","Belum")</f>
        <v>Ya</v>
      </c>
    </row>
    <row r="199" customFormat="false" ht="23.85" hidden="false" customHeight="false" outlineLevel="0" collapsed="false">
      <c r="A199" s="12" t="s">
        <v>131</v>
      </c>
      <c r="B199" s="12" t="s">
        <v>784</v>
      </c>
      <c r="C199" s="12" t="s">
        <v>912</v>
      </c>
      <c r="D199" s="12" t="s">
        <v>913</v>
      </c>
      <c r="E199" s="12"/>
      <c r="F199" s="12"/>
      <c r="G199" s="12" t="s">
        <v>914</v>
      </c>
      <c r="H199" s="12" t="s">
        <v>838</v>
      </c>
      <c r="I199" s="19" t="str">
        <f aca="false">IF(COUNTIF('Jadwal 8 Minggu'!$G$5:$G$400,A199)&gt;0,"Ya","Belum")</f>
        <v>Ya</v>
      </c>
    </row>
    <row r="200" customFormat="false" ht="15" hidden="false" customHeight="false" outlineLevel="0" collapsed="false">
      <c r="A200" s="12" t="s">
        <v>915</v>
      </c>
      <c r="B200" s="12" t="s">
        <v>784</v>
      </c>
      <c r="C200" s="12" t="s">
        <v>916</v>
      </c>
      <c r="D200" s="12" t="s">
        <v>917</v>
      </c>
      <c r="E200" s="12"/>
      <c r="F200" s="12"/>
      <c r="G200" s="12" t="s">
        <v>918</v>
      </c>
      <c r="H200" s="12" t="s">
        <v>804</v>
      </c>
      <c r="I200" s="19" t="str">
        <f aca="false">IF(COUNTIF('Jadwal 8 Minggu'!$G$5:$G$400,A200)&gt;0,"Ya","Belum")</f>
        <v>Belum</v>
      </c>
    </row>
    <row r="201" customFormat="false" ht="23.85" hidden="false" customHeight="false" outlineLevel="0" collapsed="false">
      <c r="A201" s="12" t="s">
        <v>919</v>
      </c>
      <c r="B201" s="12" t="s">
        <v>784</v>
      </c>
      <c r="C201" s="12" t="s">
        <v>920</v>
      </c>
      <c r="D201" s="12" t="s">
        <v>921</v>
      </c>
      <c r="E201" s="12"/>
      <c r="F201" s="12"/>
      <c r="G201" s="12" t="s">
        <v>922</v>
      </c>
      <c r="H201" s="12" t="s">
        <v>788</v>
      </c>
      <c r="I201" s="19" t="str">
        <f aca="false">IF(COUNTIF('Jadwal 8 Minggu'!$G$5:$G$400,A201)&gt;0,"Ya","Belum")</f>
        <v>Belum</v>
      </c>
    </row>
    <row r="202" customFormat="false" ht="23.85" hidden="false" customHeight="false" outlineLevel="0" collapsed="false">
      <c r="A202" s="12" t="s">
        <v>923</v>
      </c>
      <c r="B202" s="12" t="s">
        <v>784</v>
      </c>
      <c r="C202" s="12" t="s">
        <v>924</v>
      </c>
      <c r="D202" s="12" t="s">
        <v>925</v>
      </c>
      <c r="E202" s="12"/>
      <c r="F202" s="12"/>
      <c r="G202" s="12" t="s">
        <v>926</v>
      </c>
      <c r="H202" s="12" t="s">
        <v>826</v>
      </c>
      <c r="I202" s="19" t="str">
        <f aca="false">IF(COUNTIF('Jadwal 8 Minggu'!$G$5:$G$400,A202)&gt;0,"Ya","Belum")</f>
        <v>Belum</v>
      </c>
    </row>
    <row r="203" customFormat="false" ht="23.85" hidden="false" customHeight="false" outlineLevel="0" collapsed="false">
      <c r="A203" s="12" t="s">
        <v>927</v>
      </c>
      <c r="B203" s="12" t="s">
        <v>784</v>
      </c>
      <c r="C203" s="12" t="s">
        <v>928</v>
      </c>
      <c r="D203" s="12" t="s">
        <v>929</v>
      </c>
      <c r="E203" s="12"/>
      <c r="F203" s="12"/>
      <c r="G203" s="12" t="s">
        <v>930</v>
      </c>
      <c r="H203" s="12" t="s">
        <v>931</v>
      </c>
      <c r="I203" s="19" t="str">
        <f aca="false">IF(COUNTIF('Jadwal 8 Minggu'!$G$5:$G$400,A203)&gt;0,"Ya","Belum")</f>
        <v>Belum</v>
      </c>
    </row>
    <row r="204" customFormat="false" ht="23.85" hidden="false" customHeight="false" outlineLevel="0" collapsed="false">
      <c r="A204" s="12" t="s">
        <v>932</v>
      </c>
      <c r="B204" s="12" t="s">
        <v>784</v>
      </c>
      <c r="C204" s="12" t="s">
        <v>933</v>
      </c>
      <c r="D204" s="12" t="s">
        <v>934</v>
      </c>
      <c r="E204" s="12"/>
      <c r="F204" s="12"/>
      <c r="G204" s="12" t="s">
        <v>935</v>
      </c>
      <c r="H204" s="12" t="s">
        <v>826</v>
      </c>
      <c r="I204" s="19" t="str">
        <f aca="false">IF(COUNTIF('Jadwal 8 Minggu'!$G$5:$G$400,A204)&gt;0,"Ya","Belum")</f>
        <v>Belum</v>
      </c>
    </row>
    <row r="205" customFormat="false" ht="23.85" hidden="false" customHeight="false" outlineLevel="0" collapsed="false">
      <c r="A205" s="12" t="s">
        <v>936</v>
      </c>
      <c r="B205" s="12" t="s">
        <v>784</v>
      </c>
      <c r="C205" s="12" t="s">
        <v>937</v>
      </c>
      <c r="D205" s="12" t="s">
        <v>938</v>
      </c>
      <c r="E205" s="12"/>
      <c r="F205" s="12"/>
      <c r="G205" s="12" t="s">
        <v>939</v>
      </c>
      <c r="H205" s="12" t="s">
        <v>826</v>
      </c>
      <c r="I205" s="19" t="str">
        <f aca="false">IF(COUNTIF('Jadwal 8 Minggu'!$G$5:$G$400,A205)&gt;0,"Ya","Belum")</f>
        <v>Belum</v>
      </c>
    </row>
    <row r="206" customFormat="false" ht="23.85" hidden="false" customHeight="false" outlineLevel="0" collapsed="false">
      <c r="A206" s="12" t="s">
        <v>940</v>
      </c>
      <c r="B206" s="12" t="s">
        <v>784</v>
      </c>
      <c r="C206" s="12" t="s">
        <v>941</v>
      </c>
      <c r="D206" s="12" t="s">
        <v>942</v>
      </c>
      <c r="E206" s="12"/>
      <c r="F206" s="12"/>
      <c r="G206" s="12" t="s">
        <v>943</v>
      </c>
      <c r="H206" s="12" t="s">
        <v>793</v>
      </c>
      <c r="I206" s="19" t="str">
        <f aca="false">IF(COUNTIF('Jadwal 8 Minggu'!$G$5:$G$400,A206)&gt;0,"Ya","Belum")</f>
        <v>Belum</v>
      </c>
    </row>
    <row r="207" customFormat="false" ht="15" hidden="false" customHeight="false" outlineLevel="0" collapsed="false">
      <c r="A207" s="12" t="s">
        <v>944</v>
      </c>
      <c r="B207" s="12" t="s">
        <v>784</v>
      </c>
      <c r="C207" s="12" t="s">
        <v>945</v>
      </c>
      <c r="D207" s="12" t="s">
        <v>946</v>
      </c>
      <c r="E207" s="12"/>
      <c r="F207" s="12"/>
      <c r="G207" s="12" t="s">
        <v>947</v>
      </c>
      <c r="H207" s="12" t="s">
        <v>793</v>
      </c>
      <c r="I207" s="19" t="str">
        <f aca="false">IF(COUNTIF('Jadwal 8 Minggu'!$G$5:$G$400,A207)&gt;0,"Ya","Belum")</f>
        <v>Belum</v>
      </c>
    </row>
    <row r="208" customFormat="false" ht="23.85" hidden="false" customHeight="false" outlineLevel="0" collapsed="false">
      <c r="A208" s="12" t="s">
        <v>98</v>
      </c>
      <c r="B208" s="12" t="s">
        <v>827</v>
      </c>
      <c r="C208" s="12" t="s">
        <v>948</v>
      </c>
      <c r="D208" s="12" t="s">
        <v>949</v>
      </c>
      <c r="E208" s="12"/>
      <c r="F208" s="12"/>
      <c r="G208" s="12" t="s">
        <v>950</v>
      </c>
      <c r="H208" s="12" t="s">
        <v>847</v>
      </c>
      <c r="I208" s="19" t="str">
        <f aca="false">IF(COUNTIF('Jadwal 8 Minggu'!$G$5:$G$400,A208)&gt;0,"Ya","Belum")</f>
        <v>Ya</v>
      </c>
    </row>
    <row r="209" customFormat="false" ht="23.85" hidden="false" customHeight="false" outlineLevel="0" collapsed="false">
      <c r="A209" s="12" t="s">
        <v>139</v>
      </c>
      <c r="B209" s="12" t="s">
        <v>827</v>
      </c>
      <c r="C209" s="12" t="s">
        <v>951</v>
      </c>
      <c r="D209" s="12" t="s">
        <v>952</v>
      </c>
      <c r="E209" s="12"/>
      <c r="F209" s="12"/>
      <c r="G209" s="12" t="s">
        <v>953</v>
      </c>
      <c r="H209" s="12" t="s">
        <v>838</v>
      </c>
      <c r="I209" s="19" t="str">
        <f aca="false">IF(COUNTIF('Jadwal 8 Minggu'!$G$5:$G$400,A209)&gt;0,"Ya","Belum")</f>
        <v>Ya</v>
      </c>
    </row>
    <row r="210" customFormat="false" ht="23.85" hidden="false" customHeight="false" outlineLevel="0" collapsed="false">
      <c r="A210" s="12" t="s">
        <v>954</v>
      </c>
      <c r="B210" s="12" t="s">
        <v>827</v>
      </c>
      <c r="C210" s="12" t="s">
        <v>955</v>
      </c>
      <c r="D210" s="12" t="s">
        <v>956</v>
      </c>
      <c r="E210" s="12"/>
      <c r="F210" s="12"/>
      <c r="G210" s="12" t="s">
        <v>957</v>
      </c>
      <c r="H210" s="12" t="s">
        <v>788</v>
      </c>
      <c r="I210" s="19" t="str">
        <f aca="false">IF(COUNTIF('Jadwal 8 Minggu'!$G$5:$G$400,A210)&gt;0,"Ya","Belum")</f>
        <v>Belum</v>
      </c>
    </row>
    <row r="211" customFormat="false" ht="23.85" hidden="false" customHeight="false" outlineLevel="0" collapsed="false">
      <c r="A211" s="12" t="s">
        <v>958</v>
      </c>
      <c r="B211" s="12" t="s">
        <v>827</v>
      </c>
      <c r="C211" s="12" t="s">
        <v>959</v>
      </c>
      <c r="D211" s="12" t="s">
        <v>960</v>
      </c>
      <c r="E211" s="12"/>
      <c r="F211" s="12"/>
      <c r="G211" s="12" t="s">
        <v>961</v>
      </c>
      <c r="H211" s="12" t="s">
        <v>793</v>
      </c>
      <c r="I211" s="19" t="str">
        <f aca="false">IF(COUNTIF('Jadwal 8 Minggu'!$G$5:$G$400,A211)&gt;0,"Ya","Belum")</f>
        <v>Belum</v>
      </c>
    </row>
    <row r="212" customFormat="false" ht="15" hidden="false" customHeight="false" outlineLevel="0" collapsed="false">
      <c r="A212" s="12" t="s">
        <v>962</v>
      </c>
      <c r="B212" s="12" t="s">
        <v>827</v>
      </c>
      <c r="C212" s="12" t="s">
        <v>963</v>
      </c>
      <c r="D212" s="12" t="s">
        <v>964</v>
      </c>
      <c r="E212" s="12"/>
      <c r="F212" s="12"/>
      <c r="G212" s="12" t="s">
        <v>965</v>
      </c>
      <c r="H212" s="12" t="s">
        <v>838</v>
      </c>
      <c r="I212" s="19" t="str">
        <f aca="false">IF(COUNTIF('Jadwal 8 Minggu'!$G$5:$G$400,A212)&gt;0,"Ya","Belum")</f>
        <v>Belum</v>
      </c>
    </row>
    <row r="213" customFormat="false" ht="23.85" hidden="false" customHeight="false" outlineLevel="0" collapsed="false">
      <c r="A213" s="12" t="s">
        <v>966</v>
      </c>
      <c r="B213" s="12" t="s">
        <v>827</v>
      </c>
      <c r="C213" s="12" t="s">
        <v>967</v>
      </c>
      <c r="D213" s="12" t="s">
        <v>968</v>
      </c>
      <c r="E213" s="12"/>
      <c r="F213" s="12"/>
      <c r="G213" s="12" t="s">
        <v>969</v>
      </c>
      <c r="H213" s="12" t="s">
        <v>826</v>
      </c>
      <c r="I213" s="19" t="str">
        <f aca="false">IF(COUNTIF('Jadwal 8 Minggu'!$G$5:$G$400,A213)&gt;0,"Ya","Belum")</f>
        <v>Belum</v>
      </c>
    </row>
    <row r="214" customFormat="false" ht="23.85" hidden="false" customHeight="false" outlineLevel="0" collapsed="false">
      <c r="A214" s="12" t="s">
        <v>970</v>
      </c>
      <c r="B214" s="12" t="s">
        <v>827</v>
      </c>
      <c r="C214" s="12" t="s">
        <v>971</v>
      </c>
      <c r="D214" s="12" t="s">
        <v>972</v>
      </c>
      <c r="E214" s="12"/>
      <c r="F214" s="12"/>
      <c r="G214" s="12" t="s">
        <v>973</v>
      </c>
      <c r="H214" s="12" t="s">
        <v>860</v>
      </c>
      <c r="I214" s="19" t="str">
        <f aca="false">IF(COUNTIF('Jadwal 8 Minggu'!$G$5:$G$400,A214)&gt;0,"Ya","Belum")</f>
        <v>Belum</v>
      </c>
    </row>
    <row r="215" customFormat="false" ht="23.85" hidden="false" customHeight="false" outlineLevel="0" collapsed="false">
      <c r="A215" s="12" t="s">
        <v>974</v>
      </c>
      <c r="B215" s="12" t="s">
        <v>827</v>
      </c>
      <c r="C215" s="12" t="s">
        <v>975</v>
      </c>
      <c r="D215" s="12" t="s">
        <v>976</v>
      </c>
      <c r="E215" s="12"/>
      <c r="F215" s="12"/>
      <c r="G215" s="12" t="s">
        <v>977</v>
      </c>
      <c r="H215" s="12" t="s">
        <v>788</v>
      </c>
      <c r="I215" s="19" t="str">
        <f aca="false">IF(COUNTIF('Jadwal 8 Minggu'!$G$5:$G$400,A215)&gt;0,"Ya","Belum")</f>
        <v>Belum</v>
      </c>
    </row>
    <row r="216" customFormat="false" ht="23.85" hidden="false" customHeight="false" outlineLevel="0" collapsed="false">
      <c r="A216" s="12" t="s">
        <v>978</v>
      </c>
      <c r="B216" s="12" t="s">
        <v>827</v>
      </c>
      <c r="C216" s="12" t="s">
        <v>979</v>
      </c>
      <c r="D216" s="12" t="s">
        <v>980</v>
      </c>
      <c r="E216" s="12"/>
      <c r="F216" s="12"/>
      <c r="G216" s="12" t="s">
        <v>981</v>
      </c>
      <c r="H216" s="12" t="s">
        <v>847</v>
      </c>
      <c r="I216" s="19" t="str">
        <f aca="false">IF(COUNTIF('Jadwal 8 Minggu'!$G$5:$G$400,A216)&gt;0,"Ya","Belum")</f>
        <v>Belum</v>
      </c>
    </row>
    <row r="217" customFormat="false" ht="15" hidden="false" customHeight="false" outlineLevel="0" collapsed="false">
      <c r="A217" s="12" t="s">
        <v>982</v>
      </c>
      <c r="B217" s="12" t="s">
        <v>827</v>
      </c>
      <c r="C217" s="12" t="s">
        <v>983</v>
      </c>
      <c r="D217" s="12" t="s">
        <v>984</v>
      </c>
      <c r="E217" s="12"/>
      <c r="F217" s="12"/>
      <c r="G217" s="12" t="s">
        <v>985</v>
      </c>
      <c r="H217" s="12" t="s">
        <v>838</v>
      </c>
      <c r="I217" s="19" t="str">
        <f aca="false">IF(COUNTIF('Jadwal 8 Minggu'!$G$5:$G$400,A217)&gt;0,"Ya","Belum")</f>
        <v>Belum</v>
      </c>
    </row>
    <row r="218" customFormat="false" ht="23.85" hidden="false" customHeight="false" outlineLevel="0" collapsed="false">
      <c r="A218" s="12" t="s">
        <v>106</v>
      </c>
      <c r="B218" s="12" t="s">
        <v>869</v>
      </c>
      <c r="C218" s="12" t="s">
        <v>986</v>
      </c>
      <c r="D218" s="12" t="s">
        <v>987</v>
      </c>
      <c r="E218" s="12"/>
      <c r="F218" s="12"/>
      <c r="G218" s="12" t="s">
        <v>988</v>
      </c>
      <c r="H218" s="12" t="s">
        <v>860</v>
      </c>
      <c r="I218" s="19" t="str">
        <f aca="false">IF(COUNTIF('Jadwal 8 Minggu'!$G$5:$G$400,A218)&gt;0,"Ya","Belum")</f>
        <v>Ya</v>
      </c>
    </row>
    <row r="219" customFormat="false" ht="15" hidden="false" customHeight="false" outlineLevel="0" collapsed="false">
      <c r="A219" s="12" t="s">
        <v>144</v>
      </c>
      <c r="B219" s="12" t="s">
        <v>869</v>
      </c>
      <c r="C219" s="12" t="s">
        <v>989</v>
      </c>
      <c r="D219" s="12" t="s">
        <v>990</v>
      </c>
      <c r="E219" s="12"/>
      <c r="F219" s="12"/>
      <c r="G219" s="12" t="s">
        <v>991</v>
      </c>
      <c r="H219" s="12" t="s">
        <v>826</v>
      </c>
      <c r="I219" s="19" t="str">
        <f aca="false">IF(COUNTIF('Jadwal 8 Minggu'!$G$5:$G$400,A219)&gt;0,"Ya","Belum")</f>
        <v>Ya</v>
      </c>
    </row>
    <row r="220" customFormat="false" ht="23.85" hidden="false" customHeight="false" outlineLevel="0" collapsed="false">
      <c r="A220" s="12" t="s">
        <v>992</v>
      </c>
      <c r="B220" s="12" t="s">
        <v>869</v>
      </c>
      <c r="C220" s="12" t="s">
        <v>993</v>
      </c>
      <c r="D220" s="12" t="s">
        <v>994</v>
      </c>
      <c r="E220" s="12"/>
      <c r="F220" s="12"/>
      <c r="G220" s="12" t="s">
        <v>995</v>
      </c>
      <c r="H220" s="12" t="s">
        <v>793</v>
      </c>
      <c r="I220" s="19" t="str">
        <f aca="false">IF(COUNTIF('Jadwal 8 Minggu'!$G$5:$G$400,A220)&gt;0,"Ya","Belum")</f>
        <v>Belum</v>
      </c>
    </row>
    <row r="221" customFormat="false" ht="23.85" hidden="false" customHeight="false" outlineLevel="0" collapsed="false">
      <c r="A221" s="12" t="s">
        <v>996</v>
      </c>
      <c r="B221" s="12" t="s">
        <v>869</v>
      </c>
      <c r="C221" s="12" t="s">
        <v>997</v>
      </c>
      <c r="D221" s="12" t="s">
        <v>998</v>
      </c>
      <c r="E221" s="12"/>
      <c r="F221" s="12"/>
      <c r="G221" s="12" t="s">
        <v>999</v>
      </c>
      <c r="H221" s="12" t="s">
        <v>788</v>
      </c>
      <c r="I221" s="19" t="str">
        <f aca="false">IF(COUNTIF('Jadwal 8 Minggu'!$G$5:$G$400,A221)&gt;0,"Ya","Belum")</f>
        <v>Belum</v>
      </c>
    </row>
    <row r="222" customFormat="false" ht="23.85" hidden="false" customHeight="false" outlineLevel="0" collapsed="false">
      <c r="A222" s="12" t="s">
        <v>1000</v>
      </c>
      <c r="B222" s="12" t="s">
        <v>869</v>
      </c>
      <c r="C222" s="12" t="s">
        <v>1001</v>
      </c>
      <c r="D222" s="12" t="s">
        <v>1002</v>
      </c>
      <c r="E222" s="12"/>
      <c r="F222" s="12"/>
      <c r="G222" s="12" t="s">
        <v>1003</v>
      </c>
      <c r="H222" s="12" t="s">
        <v>847</v>
      </c>
      <c r="I222" s="19" t="str">
        <f aca="false">IF(COUNTIF('Jadwal 8 Minggu'!$G$5:$G$400,A222)&gt;0,"Ya","Belum")</f>
        <v>Belum</v>
      </c>
    </row>
    <row r="223" customFormat="false" ht="23.85" hidden="false" customHeight="false" outlineLevel="0" collapsed="false">
      <c r="A223" s="12" t="s">
        <v>1004</v>
      </c>
      <c r="B223" s="12" t="s">
        <v>869</v>
      </c>
      <c r="C223" s="12" t="s">
        <v>1005</v>
      </c>
      <c r="D223" s="12" t="s">
        <v>1006</v>
      </c>
      <c r="E223" s="12"/>
      <c r="F223" s="12"/>
      <c r="G223" s="12" t="s">
        <v>1007</v>
      </c>
      <c r="H223" s="12" t="s">
        <v>860</v>
      </c>
      <c r="I223" s="19" t="str">
        <f aca="false">IF(COUNTIF('Jadwal 8 Minggu'!$G$5:$G$400,A223)&gt;0,"Ya","Belum")</f>
        <v>Belum</v>
      </c>
    </row>
    <row r="224" customFormat="false" ht="23.85" hidden="false" customHeight="false" outlineLevel="0" collapsed="false">
      <c r="A224" s="12" t="s">
        <v>1008</v>
      </c>
      <c r="B224" s="12" t="s">
        <v>869</v>
      </c>
      <c r="C224" s="12" t="s">
        <v>1009</v>
      </c>
      <c r="D224" s="12" t="s">
        <v>1010</v>
      </c>
      <c r="E224" s="12"/>
      <c r="F224" s="12"/>
      <c r="G224" s="12" t="s">
        <v>1011</v>
      </c>
      <c r="H224" s="12" t="s">
        <v>826</v>
      </c>
      <c r="I224" s="19" t="str">
        <f aca="false">IF(COUNTIF('Jadwal 8 Minggu'!$G$5:$G$400,A224)&gt;0,"Ya","Belum")</f>
        <v>Belum</v>
      </c>
    </row>
    <row r="225" customFormat="false" ht="23.85" hidden="false" customHeight="false" outlineLevel="0" collapsed="false">
      <c r="A225" s="12" t="s">
        <v>1012</v>
      </c>
      <c r="B225" s="12" t="s">
        <v>869</v>
      </c>
      <c r="C225" s="12" t="s">
        <v>1013</v>
      </c>
      <c r="D225" s="12" t="s">
        <v>1014</v>
      </c>
      <c r="E225" s="12"/>
      <c r="F225" s="12"/>
      <c r="G225" s="12" t="s">
        <v>1015</v>
      </c>
      <c r="H225" s="12" t="s">
        <v>860</v>
      </c>
      <c r="I225" s="19" t="str">
        <f aca="false">IF(COUNTIF('Jadwal 8 Minggu'!$G$5:$G$400,A225)&gt;0,"Ya","Belum")</f>
        <v>Belum</v>
      </c>
    </row>
    <row r="226" customFormat="false" ht="23.85" hidden="false" customHeight="false" outlineLevel="0" collapsed="false">
      <c r="A226" s="12" t="s">
        <v>1016</v>
      </c>
      <c r="B226" s="12" t="s">
        <v>869</v>
      </c>
      <c r="C226" s="12" t="s">
        <v>1017</v>
      </c>
      <c r="D226" s="12" t="s">
        <v>1018</v>
      </c>
      <c r="E226" s="12"/>
      <c r="F226" s="12"/>
      <c r="G226" s="12" t="s">
        <v>1019</v>
      </c>
      <c r="H226" s="12" t="s">
        <v>847</v>
      </c>
      <c r="I226" s="19" t="str">
        <f aca="false">IF(COUNTIF('Jadwal 8 Minggu'!$G$5:$G$400,A226)&gt;0,"Ya","Belum")</f>
        <v>Belum</v>
      </c>
    </row>
    <row r="227" customFormat="false" ht="23.85" hidden="false" customHeight="false" outlineLevel="0" collapsed="false">
      <c r="A227" s="12" t="s">
        <v>1020</v>
      </c>
      <c r="B227" s="12" t="s">
        <v>869</v>
      </c>
      <c r="C227" s="12" t="s">
        <v>1021</v>
      </c>
      <c r="D227" s="12" t="s">
        <v>1022</v>
      </c>
      <c r="E227" s="12"/>
      <c r="F227" s="12"/>
      <c r="G227" s="12" t="s">
        <v>1023</v>
      </c>
      <c r="H227" s="12" t="s">
        <v>908</v>
      </c>
      <c r="I227" s="19" t="str">
        <f aca="false">IF(COUNTIF('Jadwal 8 Minggu'!$G$5:$G$400,A227)&gt;0,"Ya","Belum")</f>
        <v>Belum</v>
      </c>
    </row>
    <row r="228" customFormat="false" ht="23.85" hidden="false" customHeight="false" outlineLevel="0" collapsed="false">
      <c r="A228" s="12" t="s">
        <v>74</v>
      </c>
      <c r="B228" s="12" t="s">
        <v>784</v>
      </c>
      <c r="C228" s="12" t="s">
        <v>1024</v>
      </c>
      <c r="D228" s="12" t="s">
        <v>1025</v>
      </c>
      <c r="E228" s="12"/>
      <c r="F228" s="12"/>
      <c r="G228" s="12" t="s">
        <v>1026</v>
      </c>
      <c r="H228" s="12" t="s">
        <v>788</v>
      </c>
      <c r="I228" s="19" t="str">
        <f aca="false">IF(COUNTIF('Jadwal 8 Minggu'!$G$5:$G$400,A228)&gt;0,"Ya","Belum")</f>
        <v>Ya</v>
      </c>
    </row>
    <row r="229" customFormat="false" ht="23.85" hidden="false" customHeight="false" outlineLevel="0" collapsed="false">
      <c r="A229" s="12" t="s">
        <v>95</v>
      </c>
      <c r="B229" s="12" t="s">
        <v>784</v>
      </c>
      <c r="C229" s="12" t="s">
        <v>1027</v>
      </c>
      <c r="D229" s="12" t="s">
        <v>1028</v>
      </c>
      <c r="E229" s="12"/>
      <c r="F229" s="12"/>
      <c r="G229" s="12" t="s">
        <v>1029</v>
      </c>
      <c r="H229" s="12" t="s">
        <v>788</v>
      </c>
      <c r="I229" s="19" t="str">
        <f aca="false">IF(COUNTIF('Jadwal 8 Minggu'!$G$5:$G$400,A229)&gt;0,"Ya","Belum")</f>
        <v>Ya</v>
      </c>
    </row>
    <row r="230" customFormat="false" ht="23.85" hidden="false" customHeight="false" outlineLevel="0" collapsed="false">
      <c r="A230" s="12" t="s">
        <v>114</v>
      </c>
      <c r="B230" s="12" t="s">
        <v>784</v>
      </c>
      <c r="C230" s="12" t="s">
        <v>1030</v>
      </c>
      <c r="D230" s="12" t="s">
        <v>1031</v>
      </c>
      <c r="E230" s="12"/>
      <c r="F230" s="12"/>
      <c r="G230" s="12" t="s">
        <v>1032</v>
      </c>
      <c r="H230" s="12" t="s">
        <v>788</v>
      </c>
      <c r="I230" s="19" t="str">
        <f aca="false">IF(COUNTIF('Jadwal 8 Minggu'!$G$5:$G$400,A230)&gt;0,"Ya","Belum")</f>
        <v>Ya</v>
      </c>
    </row>
    <row r="231" customFormat="false" ht="23.85" hidden="false" customHeight="false" outlineLevel="0" collapsed="false">
      <c r="A231" s="12" t="s">
        <v>133</v>
      </c>
      <c r="B231" s="12" t="s">
        <v>784</v>
      </c>
      <c r="C231" s="12" t="s">
        <v>1033</v>
      </c>
      <c r="D231" s="12" t="s">
        <v>1034</v>
      </c>
      <c r="E231" s="12"/>
      <c r="F231" s="12"/>
      <c r="G231" s="12" t="s">
        <v>1035</v>
      </c>
      <c r="H231" s="12" t="s">
        <v>788</v>
      </c>
      <c r="I231" s="19" t="str">
        <f aca="false">IF(COUNTIF('Jadwal 8 Minggu'!$G$5:$G$400,A231)&gt;0,"Ya","Belum")</f>
        <v>Ya</v>
      </c>
    </row>
    <row r="232" customFormat="false" ht="23.85" hidden="false" customHeight="false" outlineLevel="0" collapsed="false">
      <c r="A232" s="12" t="s">
        <v>153</v>
      </c>
      <c r="B232" s="12" t="s">
        <v>784</v>
      </c>
      <c r="C232" s="12" t="s">
        <v>1036</v>
      </c>
      <c r="D232" s="12" t="s">
        <v>1037</v>
      </c>
      <c r="E232" s="12"/>
      <c r="F232" s="12"/>
      <c r="G232" s="12" t="s">
        <v>1038</v>
      </c>
      <c r="H232" s="12" t="s">
        <v>788</v>
      </c>
      <c r="I232" s="19" t="str">
        <f aca="false">IF(COUNTIF('Jadwal 8 Minggu'!$G$5:$G$400,A232)&gt;0,"Ya","Belum")</f>
        <v>Ya</v>
      </c>
    </row>
    <row r="233" customFormat="false" ht="23.85" hidden="false" customHeight="false" outlineLevel="0" collapsed="false">
      <c r="A233" s="12" t="s">
        <v>1039</v>
      </c>
      <c r="B233" s="12" t="s">
        <v>784</v>
      </c>
      <c r="C233" s="12" t="s">
        <v>1040</v>
      </c>
      <c r="D233" s="12" t="s">
        <v>1041</v>
      </c>
      <c r="E233" s="12"/>
      <c r="F233" s="12"/>
      <c r="G233" s="12" t="s">
        <v>1042</v>
      </c>
      <c r="H233" s="12" t="s">
        <v>847</v>
      </c>
      <c r="I233" s="19" t="str">
        <f aca="false">IF(COUNTIF('Jadwal 8 Minggu'!$G$5:$G$400,A233)&gt;0,"Ya","Belum")</f>
        <v>Belum</v>
      </c>
    </row>
    <row r="234" customFormat="false" ht="35.05" hidden="false" customHeight="false" outlineLevel="0" collapsed="false">
      <c r="A234" s="12" t="s">
        <v>1043</v>
      </c>
      <c r="B234" s="12" t="s">
        <v>784</v>
      </c>
      <c r="C234" s="12" t="s">
        <v>1044</v>
      </c>
      <c r="D234" s="12" t="s">
        <v>1045</v>
      </c>
      <c r="E234" s="12"/>
      <c r="F234" s="12"/>
      <c r="G234" s="12" t="s">
        <v>1046</v>
      </c>
      <c r="H234" s="12" t="s">
        <v>847</v>
      </c>
      <c r="I234" s="19" t="str">
        <f aca="false">IF(COUNTIF('Jadwal 8 Minggu'!$G$5:$G$400,A234)&gt;0,"Ya","Belum")</f>
        <v>Belum</v>
      </c>
    </row>
    <row r="235" customFormat="false" ht="23.85" hidden="false" customHeight="false" outlineLevel="0" collapsed="false">
      <c r="A235" s="12" t="s">
        <v>1047</v>
      </c>
      <c r="B235" s="12" t="s">
        <v>784</v>
      </c>
      <c r="C235" s="12" t="s">
        <v>1048</v>
      </c>
      <c r="D235" s="12" t="s">
        <v>1049</v>
      </c>
      <c r="E235" s="12"/>
      <c r="F235" s="12"/>
      <c r="G235" s="12" t="s">
        <v>1050</v>
      </c>
      <c r="H235" s="12" t="s">
        <v>847</v>
      </c>
      <c r="I235" s="19" t="str">
        <f aca="false">IF(COUNTIF('Jadwal 8 Minggu'!$G$5:$G$400,A235)&gt;0,"Ya","Belum")</f>
        <v>Belum</v>
      </c>
    </row>
    <row r="236" customFormat="false" ht="23.85" hidden="false" customHeight="false" outlineLevel="0" collapsed="false">
      <c r="A236" s="12" t="s">
        <v>1051</v>
      </c>
      <c r="B236" s="12" t="s">
        <v>784</v>
      </c>
      <c r="C236" s="12" t="s">
        <v>1052</v>
      </c>
      <c r="D236" s="12" t="s">
        <v>1053</v>
      </c>
      <c r="E236" s="12"/>
      <c r="F236" s="12"/>
      <c r="G236" s="12" t="s">
        <v>1054</v>
      </c>
      <c r="H236" s="12" t="s">
        <v>809</v>
      </c>
      <c r="I236" s="19" t="str">
        <f aca="false">IF(COUNTIF('Jadwal 8 Minggu'!$G$5:$G$400,A236)&gt;0,"Ya","Belum")</f>
        <v>Belum</v>
      </c>
    </row>
    <row r="237" customFormat="false" ht="23.85" hidden="false" customHeight="false" outlineLevel="0" collapsed="false">
      <c r="A237" s="12" t="s">
        <v>1055</v>
      </c>
      <c r="B237" s="12" t="s">
        <v>784</v>
      </c>
      <c r="C237" s="12" t="s">
        <v>1056</v>
      </c>
      <c r="D237" s="12" t="s">
        <v>1057</v>
      </c>
      <c r="E237" s="12"/>
      <c r="F237" s="12"/>
      <c r="G237" s="12" t="s">
        <v>1058</v>
      </c>
      <c r="H237" s="12" t="s">
        <v>826</v>
      </c>
      <c r="I237" s="19" t="str">
        <f aca="false">IF(COUNTIF('Jadwal 8 Minggu'!$G$5:$G$400,A237)&gt;0,"Ya","Belum")</f>
        <v>Belum</v>
      </c>
    </row>
    <row r="238" customFormat="false" ht="23.85" hidden="false" customHeight="false" outlineLevel="0" collapsed="false">
      <c r="A238" s="12" t="s">
        <v>1059</v>
      </c>
      <c r="B238" s="12" t="s">
        <v>784</v>
      </c>
      <c r="C238" s="12" t="s">
        <v>1060</v>
      </c>
      <c r="D238" s="12" t="s">
        <v>1061</v>
      </c>
      <c r="E238" s="12"/>
      <c r="F238" s="12"/>
      <c r="G238" s="12" t="s">
        <v>1062</v>
      </c>
      <c r="H238" s="12" t="s">
        <v>793</v>
      </c>
      <c r="I238" s="19" t="str">
        <f aca="false">IF(COUNTIF('Jadwal 8 Minggu'!$G$5:$G$400,A238)&gt;0,"Ya","Belum")</f>
        <v>Belum</v>
      </c>
    </row>
    <row r="239" customFormat="false" ht="23.85" hidden="false" customHeight="false" outlineLevel="0" collapsed="false">
      <c r="A239" s="12" t="s">
        <v>1063</v>
      </c>
      <c r="B239" s="12" t="s">
        <v>784</v>
      </c>
      <c r="C239" s="12" t="s">
        <v>1064</v>
      </c>
      <c r="D239" s="12" t="s">
        <v>1065</v>
      </c>
      <c r="E239" s="12"/>
      <c r="F239" s="12"/>
      <c r="G239" s="12" t="s">
        <v>1066</v>
      </c>
      <c r="H239" s="12" t="s">
        <v>793</v>
      </c>
      <c r="I239" s="19" t="str">
        <f aca="false">IF(COUNTIF('Jadwal 8 Minggu'!$G$5:$G$400,A239)&gt;0,"Ya","Belum")</f>
        <v>Belum</v>
      </c>
    </row>
    <row r="240" customFormat="false" ht="23.85" hidden="false" customHeight="false" outlineLevel="0" collapsed="false">
      <c r="A240" s="12" t="s">
        <v>1067</v>
      </c>
      <c r="B240" s="12" t="s">
        <v>784</v>
      </c>
      <c r="C240" s="12" t="s">
        <v>1068</v>
      </c>
      <c r="D240" s="12" t="s">
        <v>1069</v>
      </c>
      <c r="E240" s="12"/>
      <c r="F240" s="12"/>
      <c r="G240" s="12" t="s">
        <v>1070</v>
      </c>
      <c r="H240" s="12" t="s">
        <v>826</v>
      </c>
      <c r="I240" s="19" t="str">
        <f aca="false">IF(COUNTIF('Jadwal 8 Minggu'!$G$5:$G$400,A240)&gt;0,"Ya","Belum")</f>
        <v>Belum</v>
      </c>
    </row>
    <row r="241" customFormat="false" ht="23.85" hidden="false" customHeight="false" outlineLevel="0" collapsed="false">
      <c r="A241" s="12" t="s">
        <v>1071</v>
      </c>
      <c r="B241" s="12" t="s">
        <v>784</v>
      </c>
      <c r="C241" s="12" t="s">
        <v>1072</v>
      </c>
      <c r="D241" s="12" t="s">
        <v>1073</v>
      </c>
      <c r="E241" s="12"/>
      <c r="F241" s="12"/>
      <c r="G241" s="12" t="s">
        <v>1074</v>
      </c>
      <c r="H241" s="12" t="s">
        <v>826</v>
      </c>
      <c r="I241" s="19" t="str">
        <f aca="false">IF(COUNTIF('Jadwal 8 Minggu'!$G$5:$G$400,A241)&gt;0,"Ya","Belum")</f>
        <v>Belum</v>
      </c>
    </row>
    <row r="242" customFormat="false" ht="23.85" hidden="false" customHeight="false" outlineLevel="0" collapsed="false">
      <c r="A242" s="12" t="s">
        <v>1075</v>
      </c>
      <c r="B242" s="12" t="s">
        <v>784</v>
      </c>
      <c r="C242" s="12" t="s">
        <v>1076</v>
      </c>
      <c r="D242" s="12" t="s">
        <v>1077</v>
      </c>
      <c r="E242" s="12"/>
      <c r="F242" s="12"/>
      <c r="G242" s="12" t="s">
        <v>1078</v>
      </c>
      <c r="H242" s="12" t="s">
        <v>826</v>
      </c>
      <c r="I242" s="19" t="str">
        <f aca="false">IF(COUNTIF('Jadwal 8 Minggu'!$G$5:$G$400,A242)&gt;0,"Ya","Belum")</f>
        <v>Belum</v>
      </c>
    </row>
    <row r="243" customFormat="false" ht="23.85" hidden="false" customHeight="false" outlineLevel="0" collapsed="false">
      <c r="A243" s="12" t="s">
        <v>1079</v>
      </c>
      <c r="B243" s="12" t="s">
        <v>784</v>
      </c>
      <c r="C243" s="12" t="s">
        <v>1080</v>
      </c>
      <c r="D243" s="12" t="s">
        <v>1081</v>
      </c>
      <c r="E243" s="12"/>
      <c r="F243" s="12"/>
      <c r="G243" s="12" t="s">
        <v>1082</v>
      </c>
      <c r="H243" s="12" t="s">
        <v>838</v>
      </c>
      <c r="I243" s="19" t="str">
        <f aca="false">IF(COUNTIF('Jadwal 8 Minggu'!$G$5:$G$400,A243)&gt;0,"Ya","Belum")</f>
        <v>Belum</v>
      </c>
    </row>
    <row r="244" customFormat="false" ht="23.85" hidden="false" customHeight="false" outlineLevel="0" collapsed="false">
      <c r="A244" s="12" t="s">
        <v>1083</v>
      </c>
      <c r="B244" s="12" t="s">
        <v>784</v>
      </c>
      <c r="C244" s="12" t="s">
        <v>1084</v>
      </c>
      <c r="D244" s="12" t="s">
        <v>1085</v>
      </c>
      <c r="E244" s="12"/>
      <c r="F244" s="12"/>
      <c r="G244" s="12" t="s">
        <v>1086</v>
      </c>
      <c r="H244" s="12" t="s">
        <v>838</v>
      </c>
      <c r="I244" s="19" t="str">
        <f aca="false">IF(COUNTIF('Jadwal 8 Minggu'!$G$5:$G$400,A244)&gt;0,"Ya","Belum")</f>
        <v>Belum</v>
      </c>
    </row>
    <row r="245" customFormat="false" ht="23.85" hidden="false" customHeight="false" outlineLevel="0" collapsed="false">
      <c r="A245" s="12" t="s">
        <v>1087</v>
      </c>
      <c r="B245" s="12" t="s">
        <v>784</v>
      </c>
      <c r="C245" s="12" t="s">
        <v>1088</v>
      </c>
      <c r="D245" s="12" t="s">
        <v>1089</v>
      </c>
      <c r="E245" s="12"/>
      <c r="F245" s="12"/>
      <c r="G245" s="12" t="s">
        <v>1090</v>
      </c>
      <c r="H245" s="12" t="s">
        <v>838</v>
      </c>
      <c r="I245" s="19" t="str">
        <f aca="false">IF(COUNTIF('Jadwal 8 Minggu'!$G$5:$G$400,A245)&gt;0,"Ya","Belum")</f>
        <v>Belum</v>
      </c>
    </row>
    <row r="246" customFormat="false" ht="23.85" hidden="false" customHeight="false" outlineLevel="0" collapsed="false">
      <c r="A246" s="12" t="s">
        <v>1091</v>
      </c>
      <c r="B246" s="12" t="s">
        <v>784</v>
      </c>
      <c r="C246" s="12" t="s">
        <v>1092</v>
      </c>
      <c r="D246" s="12" t="s">
        <v>1093</v>
      </c>
      <c r="E246" s="12"/>
      <c r="F246" s="12"/>
      <c r="G246" s="12" t="s">
        <v>1094</v>
      </c>
      <c r="H246" s="12" t="s">
        <v>860</v>
      </c>
      <c r="I246" s="19" t="str">
        <f aca="false">IF(COUNTIF('Jadwal 8 Minggu'!$G$5:$G$400,A246)&gt;0,"Ya","Belum")</f>
        <v>Belum</v>
      </c>
    </row>
    <row r="247" customFormat="false" ht="23.85" hidden="false" customHeight="false" outlineLevel="0" collapsed="false">
      <c r="A247" s="12" t="s">
        <v>1095</v>
      </c>
      <c r="B247" s="12" t="s">
        <v>784</v>
      </c>
      <c r="C247" s="12" t="s">
        <v>1096</v>
      </c>
      <c r="D247" s="12" t="s">
        <v>1097</v>
      </c>
      <c r="E247" s="12"/>
      <c r="F247" s="12"/>
      <c r="G247" s="12" t="s">
        <v>1098</v>
      </c>
      <c r="H247" s="12" t="s">
        <v>860</v>
      </c>
      <c r="I247" s="19" t="str">
        <f aca="false">IF(COUNTIF('Jadwal 8 Minggu'!$G$5:$G$400,A247)&gt;0,"Ya","Belum")</f>
        <v>Belum</v>
      </c>
    </row>
    <row r="248" customFormat="false" ht="23.85" hidden="false" customHeight="false" outlineLevel="0" collapsed="false">
      <c r="A248" s="12" t="s">
        <v>81</v>
      </c>
      <c r="B248" s="12" t="s">
        <v>827</v>
      </c>
      <c r="C248" s="12" t="s">
        <v>1099</v>
      </c>
      <c r="D248" s="12" t="s">
        <v>1100</v>
      </c>
      <c r="E248" s="12"/>
      <c r="F248" s="12"/>
      <c r="G248" s="12" t="s">
        <v>1101</v>
      </c>
      <c r="H248" s="12" t="s">
        <v>788</v>
      </c>
      <c r="I248" s="19" t="str">
        <f aca="false">IF(COUNTIF('Jadwal 8 Minggu'!$G$5:$G$400,A248)&gt;0,"Ya","Belum")</f>
        <v>Ya</v>
      </c>
    </row>
    <row r="249" customFormat="false" ht="23.85" hidden="false" customHeight="false" outlineLevel="0" collapsed="false">
      <c r="A249" s="12" t="s">
        <v>100</v>
      </c>
      <c r="B249" s="12" t="s">
        <v>827</v>
      </c>
      <c r="C249" s="12" t="s">
        <v>1102</v>
      </c>
      <c r="D249" s="12" t="s">
        <v>1103</v>
      </c>
      <c r="E249" s="12"/>
      <c r="F249" s="12"/>
      <c r="G249" s="12" t="s">
        <v>1104</v>
      </c>
      <c r="H249" s="12" t="s">
        <v>788</v>
      </c>
      <c r="I249" s="19" t="str">
        <f aca="false">IF(COUNTIF('Jadwal 8 Minggu'!$G$5:$G$400,A249)&gt;0,"Ya","Belum")</f>
        <v>Ya</v>
      </c>
    </row>
    <row r="250" customFormat="false" ht="23.85" hidden="false" customHeight="false" outlineLevel="0" collapsed="false">
      <c r="A250" s="12" t="s">
        <v>122</v>
      </c>
      <c r="B250" s="12" t="s">
        <v>827</v>
      </c>
      <c r="C250" s="12" t="s">
        <v>1105</v>
      </c>
      <c r="D250" s="12" t="s">
        <v>1106</v>
      </c>
      <c r="E250" s="12"/>
      <c r="F250" s="12"/>
      <c r="G250" s="12" t="s">
        <v>1107</v>
      </c>
      <c r="H250" s="12" t="s">
        <v>788</v>
      </c>
      <c r="I250" s="19" t="str">
        <f aca="false">IF(COUNTIF('Jadwal 8 Minggu'!$G$5:$G$400,A250)&gt;0,"Ya","Belum")</f>
        <v>Ya</v>
      </c>
    </row>
    <row r="251" customFormat="false" ht="23.85" hidden="false" customHeight="false" outlineLevel="0" collapsed="false">
      <c r="A251" s="12" t="s">
        <v>142</v>
      </c>
      <c r="B251" s="12" t="s">
        <v>827</v>
      </c>
      <c r="C251" s="12" t="s">
        <v>1108</v>
      </c>
      <c r="D251" s="12" t="s">
        <v>1109</v>
      </c>
      <c r="E251" s="12"/>
      <c r="F251" s="12"/>
      <c r="G251" s="12" t="s">
        <v>1110</v>
      </c>
      <c r="H251" s="12" t="s">
        <v>788</v>
      </c>
      <c r="I251" s="19" t="str">
        <f aca="false">IF(COUNTIF('Jadwal 8 Minggu'!$G$5:$G$400,A251)&gt;0,"Ya","Belum")</f>
        <v>Ya</v>
      </c>
    </row>
    <row r="252" customFormat="false" ht="23.85" hidden="false" customHeight="false" outlineLevel="0" collapsed="false">
      <c r="A252" s="12" t="s">
        <v>1111</v>
      </c>
      <c r="B252" s="12" t="s">
        <v>827</v>
      </c>
      <c r="C252" s="12" t="s">
        <v>1112</v>
      </c>
      <c r="D252" s="12" t="s">
        <v>1113</v>
      </c>
      <c r="E252" s="12"/>
      <c r="F252" s="12"/>
      <c r="G252" s="12" t="s">
        <v>1114</v>
      </c>
      <c r="H252" s="12" t="s">
        <v>788</v>
      </c>
      <c r="I252" s="19" t="str">
        <f aca="false">IF(COUNTIF('Jadwal 8 Minggu'!$G$5:$G$400,A252)&gt;0,"Ya","Belum")</f>
        <v>Belum</v>
      </c>
    </row>
    <row r="253" customFormat="false" ht="23.85" hidden="false" customHeight="false" outlineLevel="0" collapsed="false">
      <c r="A253" s="12" t="s">
        <v>1115</v>
      </c>
      <c r="B253" s="12" t="s">
        <v>827</v>
      </c>
      <c r="C253" s="12" t="s">
        <v>1116</v>
      </c>
      <c r="D253" s="12" t="s">
        <v>1117</v>
      </c>
      <c r="E253" s="12"/>
      <c r="F253" s="12"/>
      <c r="G253" s="12" t="s">
        <v>1118</v>
      </c>
      <c r="H253" s="12" t="s">
        <v>847</v>
      </c>
      <c r="I253" s="19" t="str">
        <f aca="false">IF(COUNTIF('Jadwal 8 Minggu'!$G$5:$G$400,A253)&gt;0,"Ya","Belum")</f>
        <v>Belum</v>
      </c>
    </row>
    <row r="254" customFormat="false" ht="23.85" hidden="false" customHeight="false" outlineLevel="0" collapsed="false">
      <c r="A254" s="12" t="s">
        <v>1119</v>
      </c>
      <c r="B254" s="12" t="s">
        <v>827</v>
      </c>
      <c r="C254" s="12" t="s">
        <v>1120</v>
      </c>
      <c r="D254" s="12" t="s">
        <v>1121</v>
      </c>
      <c r="E254" s="12"/>
      <c r="F254" s="12"/>
      <c r="G254" s="12" t="s">
        <v>1122</v>
      </c>
      <c r="H254" s="12" t="s">
        <v>847</v>
      </c>
      <c r="I254" s="19" t="str">
        <f aca="false">IF(COUNTIF('Jadwal 8 Minggu'!$G$5:$G$400,A254)&gt;0,"Ya","Belum")</f>
        <v>Belum</v>
      </c>
    </row>
    <row r="255" customFormat="false" ht="23.85" hidden="false" customHeight="false" outlineLevel="0" collapsed="false">
      <c r="A255" s="12" t="s">
        <v>1123</v>
      </c>
      <c r="B255" s="12" t="s">
        <v>827</v>
      </c>
      <c r="C255" s="12" t="s">
        <v>1124</v>
      </c>
      <c r="D255" s="12" t="s">
        <v>1125</v>
      </c>
      <c r="E255" s="12"/>
      <c r="F255" s="12"/>
      <c r="G255" s="12" t="s">
        <v>1126</v>
      </c>
      <c r="H255" s="12" t="s">
        <v>847</v>
      </c>
      <c r="I255" s="19" t="str">
        <f aca="false">IF(COUNTIF('Jadwal 8 Minggu'!$G$5:$G$400,A255)&gt;0,"Ya","Belum")</f>
        <v>Belum</v>
      </c>
    </row>
    <row r="256" customFormat="false" ht="23.85" hidden="false" customHeight="false" outlineLevel="0" collapsed="false">
      <c r="A256" s="12" t="s">
        <v>1127</v>
      </c>
      <c r="B256" s="12" t="s">
        <v>827</v>
      </c>
      <c r="C256" s="12" t="s">
        <v>1128</v>
      </c>
      <c r="D256" s="12" t="s">
        <v>1129</v>
      </c>
      <c r="E256" s="12"/>
      <c r="F256" s="12"/>
      <c r="G256" s="12" t="s">
        <v>1130</v>
      </c>
      <c r="H256" s="12" t="s">
        <v>847</v>
      </c>
      <c r="I256" s="19" t="str">
        <f aca="false">IF(COUNTIF('Jadwal 8 Minggu'!$G$5:$G$400,A256)&gt;0,"Ya","Belum")</f>
        <v>Belum</v>
      </c>
    </row>
    <row r="257" customFormat="false" ht="23.85" hidden="false" customHeight="false" outlineLevel="0" collapsed="false">
      <c r="A257" s="12" t="s">
        <v>1131</v>
      </c>
      <c r="B257" s="12" t="s">
        <v>827</v>
      </c>
      <c r="C257" s="12" t="s">
        <v>1132</v>
      </c>
      <c r="D257" s="12" t="s">
        <v>1133</v>
      </c>
      <c r="E257" s="12"/>
      <c r="F257" s="12"/>
      <c r="G257" s="12" t="s">
        <v>1134</v>
      </c>
      <c r="H257" s="12" t="s">
        <v>847</v>
      </c>
      <c r="I257" s="19" t="str">
        <f aca="false">IF(COUNTIF('Jadwal 8 Minggu'!$G$5:$G$400,A257)&gt;0,"Ya","Belum")</f>
        <v>Belum</v>
      </c>
    </row>
    <row r="258" customFormat="false" ht="23.85" hidden="false" customHeight="false" outlineLevel="0" collapsed="false">
      <c r="A258" s="12" t="s">
        <v>1135</v>
      </c>
      <c r="B258" s="12" t="s">
        <v>827</v>
      </c>
      <c r="C258" s="12" t="s">
        <v>1136</v>
      </c>
      <c r="D258" s="12" t="s">
        <v>1137</v>
      </c>
      <c r="E258" s="12"/>
      <c r="F258" s="12"/>
      <c r="G258" s="12" t="s">
        <v>1138</v>
      </c>
      <c r="H258" s="12" t="s">
        <v>826</v>
      </c>
      <c r="I258" s="19" t="str">
        <f aca="false">IF(COUNTIF('Jadwal 8 Minggu'!$G$5:$G$400,A258)&gt;0,"Ya","Belum")</f>
        <v>Belum</v>
      </c>
    </row>
    <row r="259" customFormat="false" ht="23.85" hidden="false" customHeight="false" outlineLevel="0" collapsed="false">
      <c r="A259" s="12" t="s">
        <v>1139</v>
      </c>
      <c r="B259" s="12" t="s">
        <v>827</v>
      </c>
      <c r="C259" s="12" t="s">
        <v>1140</v>
      </c>
      <c r="D259" s="12" t="s">
        <v>1141</v>
      </c>
      <c r="E259" s="12"/>
      <c r="F259" s="12"/>
      <c r="G259" s="12" t="s">
        <v>1142</v>
      </c>
      <c r="H259" s="12" t="s">
        <v>826</v>
      </c>
      <c r="I259" s="19" t="str">
        <f aca="false">IF(COUNTIF('Jadwal 8 Minggu'!$G$5:$G$400,A259)&gt;0,"Ya","Belum")</f>
        <v>Belum</v>
      </c>
    </row>
    <row r="260" customFormat="false" ht="23.85" hidden="false" customHeight="false" outlineLevel="0" collapsed="false">
      <c r="A260" s="12" t="s">
        <v>1143</v>
      </c>
      <c r="B260" s="12" t="s">
        <v>827</v>
      </c>
      <c r="C260" s="12" t="s">
        <v>1144</v>
      </c>
      <c r="D260" s="12" t="s">
        <v>1145</v>
      </c>
      <c r="E260" s="12"/>
      <c r="F260" s="12"/>
      <c r="G260" s="12" t="s">
        <v>1146</v>
      </c>
      <c r="H260" s="12" t="s">
        <v>826</v>
      </c>
      <c r="I260" s="19" t="str">
        <f aca="false">IF(COUNTIF('Jadwal 8 Minggu'!$G$5:$G$400,A260)&gt;0,"Ya","Belum")</f>
        <v>Belum</v>
      </c>
    </row>
    <row r="261" customFormat="false" ht="23.85" hidden="false" customHeight="false" outlineLevel="0" collapsed="false">
      <c r="A261" s="12" t="s">
        <v>1147</v>
      </c>
      <c r="B261" s="12" t="s">
        <v>827</v>
      </c>
      <c r="C261" s="12" t="s">
        <v>1148</v>
      </c>
      <c r="D261" s="12" t="s">
        <v>1149</v>
      </c>
      <c r="E261" s="12"/>
      <c r="F261" s="12"/>
      <c r="G261" s="12" t="s">
        <v>1150</v>
      </c>
      <c r="H261" s="12" t="s">
        <v>826</v>
      </c>
      <c r="I261" s="19" t="str">
        <f aca="false">IF(COUNTIF('Jadwal 8 Minggu'!$G$5:$G$400,A261)&gt;0,"Ya","Belum")</f>
        <v>Belum</v>
      </c>
    </row>
    <row r="262" customFormat="false" ht="23.85" hidden="false" customHeight="false" outlineLevel="0" collapsed="false">
      <c r="A262" s="12" t="s">
        <v>1151</v>
      </c>
      <c r="B262" s="12" t="s">
        <v>827</v>
      </c>
      <c r="C262" s="12" t="s">
        <v>1152</v>
      </c>
      <c r="D262" s="12" t="s">
        <v>1153</v>
      </c>
      <c r="E262" s="12"/>
      <c r="F262" s="12"/>
      <c r="G262" s="12" t="s">
        <v>1154</v>
      </c>
      <c r="H262" s="12" t="s">
        <v>838</v>
      </c>
      <c r="I262" s="19" t="str">
        <f aca="false">IF(COUNTIF('Jadwal 8 Minggu'!$G$5:$G$400,A262)&gt;0,"Ya","Belum")</f>
        <v>Belum</v>
      </c>
    </row>
    <row r="263" customFormat="false" ht="23.85" hidden="false" customHeight="false" outlineLevel="0" collapsed="false">
      <c r="A263" s="12" t="s">
        <v>1155</v>
      </c>
      <c r="B263" s="12" t="s">
        <v>827</v>
      </c>
      <c r="C263" s="12" t="s">
        <v>1156</v>
      </c>
      <c r="D263" s="12" t="s">
        <v>1157</v>
      </c>
      <c r="E263" s="12"/>
      <c r="F263" s="12"/>
      <c r="G263" s="12" t="s">
        <v>1158</v>
      </c>
      <c r="H263" s="12" t="s">
        <v>838</v>
      </c>
      <c r="I263" s="19" t="str">
        <f aca="false">IF(COUNTIF('Jadwal 8 Minggu'!$G$5:$G$400,A263)&gt;0,"Ya","Belum")</f>
        <v>Belum</v>
      </c>
    </row>
    <row r="264" customFormat="false" ht="23.85" hidden="false" customHeight="false" outlineLevel="0" collapsed="false">
      <c r="A264" s="12" t="s">
        <v>1159</v>
      </c>
      <c r="B264" s="12" t="s">
        <v>827</v>
      </c>
      <c r="C264" s="12" t="s">
        <v>1160</v>
      </c>
      <c r="D264" s="12" t="s">
        <v>1161</v>
      </c>
      <c r="E264" s="12"/>
      <c r="F264" s="12"/>
      <c r="G264" s="12" t="s">
        <v>1162</v>
      </c>
      <c r="H264" s="12" t="s">
        <v>838</v>
      </c>
      <c r="I264" s="19" t="str">
        <f aca="false">IF(COUNTIF('Jadwal 8 Minggu'!$G$5:$G$400,A264)&gt;0,"Ya","Belum")</f>
        <v>Belum</v>
      </c>
    </row>
    <row r="265" customFormat="false" ht="23.85" hidden="false" customHeight="false" outlineLevel="0" collapsed="false">
      <c r="A265" s="12" t="s">
        <v>1163</v>
      </c>
      <c r="B265" s="12" t="s">
        <v>827</v>
      </c>
      <c r="C265" s="12" t="s">
        <v>1164</v>
      </c>
      <c r="D265" s="12" t="s">
        <v>1165</v>
      </c>
      <c r="E265" s="12"/>
      <c r="F265" s="12"/>
      <c r="G265" s="12" t="s">
        <v>1166</v>
      </c>
      <c r="H265" s="12" t="s">
        <v>838</v>
      </c>
      <c r="I265" s="19" t="str">
        <f aca="false">IF(COUNTIF('Jadwal 8 Minggu'!$G$5:$G$400,A265)&gt;0,"Ya","Belum")</f>
        <v>Belum</v>
      </c>
    </row>
    <row r="266" customFormat="false" ht="23.85" hidden="false" customHeight="false" outlineLevel="0" collapsed="false">
      <c r="A266" s="12" t="s">
        <v>1167</v>
      </c>
      <c r="B266" s="12" t="s">
        <v>827</v>
      </c>
      <c r="C266" s="12" t="s">
        <v>1168</v>
      </c>
      <c r="D266" s="12" t="s">
        <v>1169</v>
      </c>
      <c r="E266" s="12"/>
      <c r="F266" s="12"/>
      <c r="G266" s="12" t="s">
        <v>1170</v>
      </c>
      <c r="H266" s="12" t="s">
        <v>860</v>
      </c>
      <c r="I266" s="19" t="str">
        <f aca="false">IF(COUNTIF('Jadwal 8 Minggu'!$G$5:$G$400,A266)&gt;0,"Ya","Belum")</f>
        <v>Belum</v>
      </c>
    </row>
    <row r="267" customFormat="false" ht="23.85" hidden="false" customHeight="false" outlineLevel="0" collapsed="false">
      <c r="A267" s="12" t="s">
        <v>822</v>
      </c>
      <c r="B267" s="12" t="s">
        <v>827</v>
      </c>
      <c r="C267" s="12" t="s">
        <v>1171</v>
      </c>
      <c r="D267" s="12" t="s">
        <v>1172</v>
      </c>
      <c r="E267" s="12"/>
      <c r="F267" s="12"/>
      <c r="G267" s="12" t="s">
        <v>1173</v>
      </c>
      <c r="H267" s="12" t="s">
        <v>860</v>
      </c>
      <c r="I267" s="19" t="str">
        <f aca="false">IF(COUNTIF('Jadwal 8 Minggu'!$G$5:$G$400,A267)&gt;0,"Ya","Belum")</f>
        <v>Belum</v>
      </c>
    </row>
    <row r="268" customFormat="false" ht="23.85" hidden="false" customHeight="false" outlineLevel="0" collapsed="false">
      <c r="A268" s="12" t="s">
        <v>822</v>
      </c>
      <c r="B268" s="12" t="s">
        <v>869</v>
      </c>
      <c r="C268" s="12" t="s">
        <v>1174</v>
      </c>
      <c r="D268" s="12" t="s">
        <v>1175</v>
      </c>
      <c r="E268" s="12"/>
      <c r="F268" s="12"/>
      <c r="G268" s="12" t="s">
        <v>1176</v>
      </c>
      <c r="H268" s="12" t="s">
        <v>788</v>
      </c>
      <c r="I268" s="19" t="str">
        <f aca="false">IF(COUNTIF('Jadwal 8 Minggu'!$G$5:$G$400,A268)&gt;0,"Ya","Belum")</f>
        <v>Belum</v>
      </c>
    </row>
    <row r="269" customFormat="false" ht="23.85" hidden="false" customHeight="false" outlineLevel="0" collapsed="false">
      <c r="A269" s="12" t="s">
        <v>822</v>
      </c>
      <c r="B269" s="12" t="s">
        <v>869</v>
      </c>
      <c r="C269" s="12" t="s">
        <v>1177</v>
      </c>
      <c r="D269" s="12" t="s">
        <v>1178</v>
      </c>
      <c r="E269" s="12"/>
      <c r="F269" s="12"/>
      <c r="G269" s="12" t="s">
        <v>1179</v>
      </c>
      <c r="H269" s="12" t="s">
        <v>788</v>
      </c>
      <c r="I269" s="19" t="str">
        <f aca="false">IF(COUNTIF('Jadwal 8 Minggu'!$G$5:$G$400,A269)&gt;0,"Ya","Belum")</f>
        <v>Belum</v>
      </c>
    </row>
    <row r="270" customFormat="false" ht="23.85" hidden="false" customHeight="false" outlineLevel="0" collapsed="false">
      <c r="A270" s="12" t="s">
        <v>822</v>
      </c>
      <c r="B270" s="12" t="s">
        <v>869</v>
      </c>
      <c r="C270" s="12" t="s">
        <v>1180</v>
      </c>
      <c r="D270" s="12" t="s">
        <v>1181</v>
      </c>
      <c r="E270" s="12"/>
      <c r="F270" s="12"/>
      <c r="G270" s="12" t="s">
        <v>1182</v>
      </c>
      <c r="H270" s="12" t="s">
        <v>788</v>
      </c>
      <c r="I270" s="19" t="str">
        <f aca="false">IF(COUNTIF('Jadwal 8 Minggu'!$G$5:$G$400,A270)&gt;0,"Ya","Belum")</f>
        <v>Belum</v>
      </c>
    </row>
    <row r="271" customFormat="false" ht="23.85" hidden="false" customHeight="false" outlineLevel="0" collapsed="false">
      <c r="A271" s="12" t="s">
        <v>822</v>
      </c>
      <c r="B271" s="12" t="s">
        <v>869</v>
      </c>
      <c r="C271" s="12" t="s">
        <v>1183</v>
      </c>
      <c r="D271" s="12" t="s">
        <v>1184</v>
      </c>
      <c r="E271" s="12"/>
      <c r="F271" s="12"/>
      <c r="G271" s="12" t="s">
        <v>1185</v>
      </c>
      <c r="H271" s="12" t="s">
        <v>788</v>
      </c>
      <c r="I271" s="19" t="str">
        <f aca="false">IF(COUNTIF('Jadwal 8 Minggu'!$G$5:$G$400,A271)&gt;0,"Ya","Belum")</f>
        <v>Belum</v>
      </c>
    </row>
    <row r="272" customFormat="false" ht="23.85" hidden="false" customHeight="false" outlineLevel="0" collapsed="false">
      <c r="A272" s="12" t="s">
        <v>822</v>
      </c>
      <c r="B272" s="12" t="s">
        <v>869</v>
      </c>
      <c r="C272" s="12" t="s">
        <v>1186</v>
      </c>
      <c r="D272" s="12" t="s">
        <v>1187</v>
      </c>
      <c r="E272" s="12"/>
      <c r="F272" s="12"/>
      <c r="G272" s="12" t="s">
        <v>1188</v>
      </c>
      <c r="H272" s="12" t="s">
        <v>788</v>
      </c>
      <c r="I272" s="19" t="str">
        <f aca="false">IF(COUNTIF('Jadwal 8 Minggu'!$G$5:$G$400,A272)&gt;0,"Ya","Belum")</f>
        <v>Belum</v>
      </c>
    </row>
    <row r="273" customFormat="false" ht="23.85" hidden="false" customHeight="false" outlineLevel="0" collapsed="false">
      <c r="A273" s="12" t="s">
        <v>822</v>
      </c>
      <c r="B273" s="12" t="s">
        <v>869</v>
      </c>
      <c r="C273" s="12" t="s">
        <v>1189</v>
      </c>
      <c r="D273" s="12" t="s">
        <v>1190</v>
      </c>
      <c r="E273" s="12"/>
      <c r="F273" s="12"/>
      <c r="G273" s="12" t="s">
        <v>1191</v>
      </c>
      <c r="H273" s="12" t="s">
        <v>847</v>
      </c>
      <c r="I273" s="19" t="str">
        <f aca="false">IF(COUNTIF('Jadwal 8 Minggu'!$G$5:$G$400,A273)&gt;0,"Ya","Belum")</f>
        <v>Belum</v>
      </c>
    </row>
    <row r="274" customFormat="false" ht="23.85" hidden="false" customHeight="false" outlineLevel="0" collapsed="false">
      <c r="A274" s="12" t="s">
        <v>822</v>
      </c>
      <c r="B274" s="12" t="s">
        <v>869</v>
      </c>
      <c r="C274" s="12" t="s">
        <v>1192</v>
      </c>
      <c r="D274" s="12" t="s">
        <v>1193</v>
      </c>
      <c r="E274" s="12"/>
      <c r="F274" s="12"/>
      <c r="G274" s="12" t="s">
        <v>1194</v>
      </c>
      <c r="H274" s="12" t="s">
        <v>793</v>
      </c>
      <c r="I274" s="19" t="str">
        <f aca="false">IF(COUNTIF('Jadwal 8 Minggu'!$G$5:$G$400,A274)&gt;0,"Ya","Belum")</f>
        <v>Belum</v>
      </c>
    </row>
    <row r="275" customFormat="false" ht="23.85" hidden="false" customHeight="false" outlineLevel="0" collapsed="false">
      <c r="A275" s="12" t="s">
        <v>822</v>
      </c>
      <c r="B275" s="12" t="s">
        <v>869</v>
      </c>
      <c r="C275" s="12" t="s">
        <v>1195</v>
      </c>
      <c r="D275" s="12" t="s">
        <v>1196</v>
      </c>
      <c r="E275" s="12"/>
      <c r="F275" s="12"/>
      <c r="G275" s="12" t="s">
        <v>1197</v>
      </c>
      <c r="H275" s="12" t="s">
        <v>847</v>
      </c>
      <c r="I275" s="19" t="str">
        <f aca="false">IF(COUNTIF('Jadwal 8 Minggu'!$G$5:$G$400,A275)&gt;0,"Ya","Belum")</f>
        <v>Belum</v>
      </c>
    </row>
    <row r="276" customFormat="false" ht="23.85" hidden="false" customHeight="false" outlineLevel="0" collapsed="false">
      <c r="A276" s="12" t="s">
        <v>822</v>
      </c>
      <c r="B276" s="12" t="s">
        <v>869</v>
      </c>
      <c r="C276" s="12" t="s">
        <v>1198</v>
      </c>
      <c r="D276" s="12" t="s">
        <v>1199</v>
      </c>
      <c r="E276" s="12"/>
      <c r="F276" s="12"/>
      <c r="G276" s="12" t="s">
        <v>1200</v>
      </c>
      <c r="H276" s="12" t="s">
        <v>847</v>
      </c>
      <c r="I276" s="19" t="str">
        <f aca="false">IF(COUNTIF('Jadwal 8 Minggu'!$G$5:$G$400,A276)&gt;0,"Ya","Belum")</f>
        <v>Belum</v>
      </c>
    </row>
    <row r="277" customFormat="false" ht="23.85" hidden="false" customHeight="false" outlineLevel="0" collapsed="false">
      <c r="A277" s="12" t="s">
        <v>78</v>
      </c>
      <c r="B277" s="12" t="s">
        <v>869</v>
      </c>
      <c r="C277" s="12" t="s">
        <v>1201</v>
      </c>
      <c r="D277" s="12" t="s">
        <v>1202</v>
      </c>
      <c r="E277" s="12"/>
      <c r="F277" s="12"/>
      <c r="G277" s="12" t="s">
        <v>1203</v>
      </c>
      <c r="H277" s="12" t="s">
        <v>826</v>
      </c>
      <c r="I277" s="19" t="str">
        <f aca="false">IF(COUNTIF('Jadwal 8 Minggu'!$G$5:$G$400,A277)&gt;0,"Ya","Belum")</f>
        <v>Ya</v>
      </c>
    </row>
    <row r="278" customFormat="false" ht="23.85" hidden="false" customHeight="false" outlineLevel="0" collapsed="false">
      <c r="A278" s="12" t="s">
        <v>78</v>
      </c>
      <c r="B278" s="12" t="s">
        <v>869</v>
      </c>
      <c r="C278" s="12" t="s">
        <v>1204</v>
      </c>
      <c r="D278" s="12" t="s">
        <v>1205</v>
      </c>
      <c r="E278" s="12"/>
      <c r="F278" s="12"/>
      <c r="G278" s="12" t="s">
        <v>1206</v>
      </c>
      <c r="H278" s="12" t="s">
        <v>826</v>
      </c>
      <c r="I278" s="19" t="str">
        <f aca="false">IF(COUNTIF('Jadwal 8 Minggu'!$G$5:$G$400,A278)&gt;0,"Ya","Belum")</f>
        <v>Ya</v>
      </c>
    </row>
    <row r="279" customFormat="false" ht="23.85" hidden="false" customHeight="false" outlineLevel="0" collapsed="false">
      <c r="A279" s="12" t="s">
        <v>78</v>
      </c>
      <c r="B279" s="12" t="s">
        <v>869</v>
      </c>
      <c r="C279" s="12" t="s">
        <v>1207</v>
      </c>
      <c r="D279" s="12" t="s">
        <v>1208</v>
      </c>
      <c r="E279" s="12"/>
      <c r="F279" s="12"/>
      <c r="G279" s="12" t="s">
        <v>1209</v>
      </c>
      <c r="H279" s="12" t="s">
        <v>804</v>
      </c>
      <c r="I279" s="19" t="str">
        <f aca="false">IF(COUNTIF('Jadwal 8 Minggu'!$G$5:$G$400,A279)&gt;0,"Ya","Belum")</f>
        <v>Ya</v>
      </c>
    </row>
    <row r="280" customFormat="false" ht="23.85" hidden="false" customHeight="false" outlineLevel="0" collapsed="false">
      <c r="A280" s="12" t="s">
        <v>78</v>
      </c>
      <c r="B280" s="12" t="s">
        <v>869</v>
      </c>
      <c r="C280" s="12" t="s">
        <v>1210</v>
      </c>
      <c r="D280" s="12" t="s">
        <v>1211</v>
      </c>
      <c r="E280" s="12"/>
      <c r="F280" s="12"/>
      <c r="G280" s="12" t="s">
        <v>1212</v>
      </c>
      <c r="H280" s="12" t="s">
        <v>804</v>
      </c>
      <c r="I280" s="19" t="str">
        <f aca="false">IF(COUNTIF('Jadwal 8 Minggu'!$G$5:$G$400,A280)&gt;0,"Ya","Belum")</f>
        <v>Ya</v>
      </c>
    </row>
    <row r="281" customFormat="false" ht="23.85" hidden="false" customHeight="false" outlineLevel="0" collapsed="false">
      <c r="A281" s="12" t="s">
        <v>78</v>
      </c>
      <c r="B281" s="12" t="s">
        <v>869</v>
      </c>
      <c r="C281" s="12" t="s">
        <v>1213</v>
      </c>
      <c r="D281" s="12" t="s">
        <v>1214</v>
      </c>
      <c r="E281" s="12"/>
      <c r="F281" s="12"/>
      <c r="G281" s="12" t="s">
        <v>1215</v>
      </c>
      <c r="H281" s="12" t="s">
        <v>838</v>
      </c>
      <c r="I281" s="19" t="str">
        <f aca="false">IF(COUNTIF('Jadwal 8 Minggu'!$G$5:$G$400,A281)&gt;0,"Ya","Belum")</f>
        <v>Ya</v>
      </c>
    </row>
    <row r="282" customFormat="false" ht="23.85" hidden="false" customHeight="false" outlineLevel="0" collapsed="false">
      <c r="A282" s="12" t="s">
        <v>78</v>
      </c>
      <c r="B282" s="12" t="s">
        <v>869</v>
      </c>
      <c r="C282" s="12" t="s">
        <v>1216</v>
      </c>
      <c r="D282" s="12" t="s">
        <v>1217</v>
      </c>
      <c r="E282" s="12"/>
      <c r="F282" s="12"/>
      <c r="G282" s="12" t="s">
        <v>1218</v>
      </c>
      <c r="H282" s="12" t="s">
        <v>838</v>
      </c>
      <c r="I282" s="19" t="str">
        <f aca="false">IF(COUNTIF('Jadwal 8 Minggu'!$G$5:$G$400,A282)&gt;0,"Ya","Belum")</f>
        <v>Ya</v>
      </c>
    </row>
    <row r="283" customFormat="false" ht="23.85" hidden="false" customHeight="false" outlineLevel="0" collapsed="false">
      <c r="A283" s="12" t="s">
        <v>78</v>
      </c>
      <c r="B283" s="12" t="s">
        <v>869</v>
      </c>
      <c r="C283" s="12" t="s">
        <v>1219</v>
      </c>
      <c r="D283" s="12" t="s">
        <v>1220</v>
      </c>
      <c r="E283" s="12"/>
      <c r="F283" s="12"/>
      <c r="G283" s="12" t="s">
        <v>1221</v>
      </c>
      <c r="H283" s="12" t="s">
        <v>860</v>
      </c>
      <c r="I283" s="19" t="str">
        <f aca="false">IF(COUNTIF('Jadwal 8 Minggu'!$G$5:$G$400,A283)&gt;0,"Ya","Belum")</f>
        <v>Ya</v>
      </c>
    </row>
    <row r="284" customFormat="false" ht="23.85" hidden="false" customHeight="false" outlineLevel="0" collapsed="false">
      <c r="A284" s="12" t="s">
        <v>78</v>
      </c>
      <c r="B284" s="12" t="s">
        <v>869</v>
      </c>
      <c r="C284" s="12" t="s">
        <v>1222</v>
      </c>
      <c r="D284" s="12" t="s">
        <v>1223</v>
      </c>
      <c r="E284" s="12"/>
      <c r="F284" s="12"/>
      <c r="G284" s="12" t="s">
        <v>1224</v>
      </c>
      <c r="H284" s="12" t="s">
        <v>860</v>
      </c>
      <c r="I284" s="19" t="str">
        <f aca="false">IF(COUNTIF('Jadwal 8 Minggu'!$G$5:$G$400,A284)&gt;0,"Ya","Belum")</f>
        <v>Ya</v>
      </c>
    </row>
    <row r="285" customFormat="false" ht="23.85" hidden="false" customHeight="false" outlineLevel="0" collapsed="false">
      <c r="A285" s="12" t="s">
        <v>78</v>
      </c>
      <c r="B285" s="12" t="s">
        <v>869</v>
      </c>
      <c r="C285" s="12" t="s">
        <v>1225</v>
      </c>
      <c r="D285" s="12" t="s">
        <v>1226</v>
      </c>
      <c r="E285" s="12"/>
      <c r="F285" s="12"/>
      <c r="G285" s="12" t="s">
        <v>1227</v>
      </c>
      <c r="H285" s="12" t="s">
        <v>860</v>
      </c>
      <c r="I285" s="19" t="str">
        <f aca="false">IF(COUNTIF('Jadwal 8 Minggu'!$G$5:$G$400,A285)&gt;0,"Ya","Belum")</f>
        <v>Ya</v>
      </c>
    </row>
    <row r="286" customFormat="false" ht="23.85" hidden="false" customHeight="false" outlineLevel="0" collapsed="false">
      <c r="A286" s="12" t="s">
        <v>78</v>
      </c>
      <c r="B286" s="12" t="s">
        <v>869</v>
      </c>
      <c r="C286" s="12" t="s">
        <v>1228</v>
      </c>
      <c r="D286" s="12" t="s">
        <v>1229</v>
      </c>
      <c r="E286" s="12"/>
      <c r="F286" s="12"/>
      <c r="G286" s="12" t="s">
        <v>1230</v>
      </c>
      <c r="H286" s="12" t="s">
        <v>860</v>
      </c>
      <c r="I286" s="19" t="str">
        <f aca="false">IF(COUNTIF('Jadwal 8 Minggu'!$G$5:$G$400,A286)&gt;0,"Ya","Belum")</f>
        <v>Ya</v>
      </c>
    </row>
    <row r="287" customFormat="false" ht="23.85" hidden="false" customHeight="false" outlineLevel="0" collapsed="false">
      <c r="A287" s="12" t="s">
        <v>117</v>
      </c>
      <c r="B287" s="12" t="s">
        <v>869</v>
      </c>
      <c r="C287" s="12" t="s">
        <v>1231</v>
      </c>
      <c r="D287" s="12" t="s">
        <v>1232</v>
      </c>
      <c r="E287" s="12"/>
      <c r="F287" s="12"/>
      <c r="G287" s="12" t="s">
        <v>1233</v>
      </c>
      <c r="H287" s="12" t="s">
        <v>860</v>
      </c>
      <c r="I287" s="19" t="str">
        <f aca="false">IF(COUNTIF('Jadwal 8 Minggu'!$G$5:$G$400,A287)&gt;0,"Ya","Belum")</f>
        <v>Ya</v>
      </c>
    </row>
  </sheetData>
  <autoFilter ref="A1:I28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8"/>
    <col collapsed="false" customWidth="true" hidden="false" outlineLevel="0" max="4" min="4" style="0" width="30"/>
    <col collapsed="false" customWidth="true" hidden="false" outlineLevel="0" max="5" min="5" style="0" width="40"/>
    <col collapsed="false" customWidth="true" hidden="false" outlineLevel="0" max="6" min="6" style="0" width="22"/>
    <col collapsed="false" customWidth="true" hidden="false" outlineLevel="0" max="7" min="7" style="0" width="40"/>
    <col collapsed="false" customWidth="true" hidden="false" outlineLevel="0" max="8" min="8" style="0" width="34"/>
    <col collapsed="false" customWidth="true" hidden="false" outlineLevel="0" max="9" min="9" style="0" width="30"/>
  </cols>
  <sheetData>
    <row r="1" customFormat="false" ht="17.35" hidden="false" customHeight="false" outlineLevel="0" collapsed="false">
      <c r="A1" s="1" t="s">
        <v>1234</v>
      </c>
    </row>
    <row r="2" customFormat="false" ht="15" hidden="false" customHeight="false" outlineLevel="0" collapsed="false">
      <c r="A2" s="10" t="s">
        <v>1235</v>
      </c>
    </row>
    <row r="4" customFormat="false" ht="15" hidden="false" customHeight="false" outlineLevel="0" collapsed="false">
      <c r="A4" s="20" t="s">
        <v>1236</v>
      </c>
      <c r="B4" s="21"/>
      <c r="C4" s="20" t="s">
        <v>1237</v>
      </c>
      <c r="D4" s="6" t="n">
        <v>5</v>
      </c>
    </row>
    <row r="5" customFormat="false" ht="15" hidden="false" customHeight="false" outlineLevel="0" collapsed="false">
      <c r="A5" s="20" t="s">
        <v>1238</v>
      </c>
      <c r="B5" s="22" t="str">
        <f aca="false">IF(B4="","",B4*D4)</f>
        <v/>
      </c>
    </row>
    <row r="7" customFormat="false" ht="23.85" hidden="false" customHeight="false" outlineLevel="0" collapsed="false">
      <c r="A7" s="11" t="s">
        <v>1239</v>
      </c>
      <c r="B7" s="11" t="s">
        <v>1240</v>
      </c>
      <c r="C7" s="11" t="s">
        <v>46</v>
      </c>
      <c r="D7" s="11" t="s">
        <v>1241</v>
      </c>
      <c r="E7" s="11" t="s">
        <v>1242</v>
      </c>
      <c r="F7" s="11" t="s">
        <v>1243</v>
      </c>
      <c r="G7" s="11" t="s">
        <v>1244</v>
      </c>
      <c r="H7" s="11" t="s">
        <v>1245</v>
      </c>
      <c r="I7" s="11" t="s">
        <v>1246</v>
      </c>
    </row>
    <row r="8" customFormat="false" ht="23.85" hidden="false" customHeight="false" outlineLevel="0" collapsed="false">
      <c r="A8" s="12" t="s">
        <v>1247</v>
      </c>
      <c r="B8" s="12" t="s">
        <v>1248</v>
      </c>
      <c r="C8" s="12" t="s">
        <v>1249</v>
      </c>
      <c r="D8" s="12" t="s">
        <v>1250</v>
      </c>
      <c r="E8" s="12" t="s">
        <v>1251</v>
      </c>
      <c r="F8" s="12" t="s">
        <v>1252</v>
      </c>
      <c r="G8" s="12" t="s">
        <v>1252</v>
      </c>
      <c r="H8" s="12" t="s">
        <v>1253</v>
      </c>
      <c r="I8" s="12" t="s">
        <v>1254</v>
      </c>
    </row>
    <row r="9" customFormat="false" ht="23.85" hidden="false" customHeight="false" outlineLevel="0" collapsed="false">
      <c r="A9" s="12" t="s">
        <v>1255</v>
      </c>
      <c r="B9" s="12" t="s">
        <v>1256</v>
      </c>
      <c r="C9" s="12" t="s">
        <v>1257</v>
      </c>
      <c r="D9" s="12" t="s">
        <v>1258</v>
      </c>
      <c r="E9" s="12" t="s">
        <v>1259</v>
      </c>
      <c r="F9" s="12" t="s">
        <v>1260</v>
      </c>
      <c r="G9" s="12" t="s">
        <v>1261</v>
      </c>
      <c r="H9" s="12" t="s">
        <v>1262</v>
      </c>
      <c r="I9" s="12" t="s">
        <v>1263</v>
      </c>
    </row>
    <row r="10" customFormat="false" ht="15" hidden="false" customHeight="false" outlineLevel="0" collapsed="false">
      <c r="A10" s="12" t="s">
        <v>1264</v>
      </c>
      <c r="B10" s="12" t="s">
        <v>1265</v>
      </c>
      <c r="C10" s="12" t="s">
        <v>1266</v>
      </c>
      <c r="D10" s="12" t="s">
        <v>1267</v>
      </c>
      <c r="E10" s="12" t="s">
        <v>1268</v>
      </c>
      <c r="F10" s="12" t="s">
        <v>1260</v>
      </c>
      <c r="G10" s="12" t="s">
        <v>1269</v>
      </c>
      <c r="H10" s="12" t="s">
        <v>1262</v>
      </c>
      <c r="I10" s="12" t="s">
        <v>1270</v>
      </c>
    </row>
    <row r="11" customFormat="false" ht="23.85" hidden="false" customHeight="false" outlineLevel="0" collapsed="false">
      <c r="A11" s="12" t="s">
        <v>1271</v>
      </c>
      <c r="B11" s="12" t="s">
        <v>1272</v>
      </c>
      <c r="C11" s="12" t="s">
        <v>1273</v>
      </c>
      <c r="D11" s="12" t="s">
        <v>1274</v>
      </c>
      <c r="E11" s="12" t="s">
        <v>1275</v>
      </c>
      <c r="F11" s="12" t="s">
        <v>1260</v>
      </c>
      <c r="G11" s="12" t="s">
        <v>1276</v>
      </c>
      <c r="H11" s="12" t="s">
        <v>1277</v>
      </c>
      <c r="I11" s="12" t="s">
        <v>1278</v>
      </c>
    </row>
    <row r="12" customFormat="false" ht="15" hidden="false" customHeight="false" outlineLevel="0" collapsed="false">
      <c r="A12" s="12" t="s">
        <v>1279</v>
      </c>
      <c r="B12" s="12" t="s">
        <v>1280</v>
      </c>
      <c r="C12" s="12" t="s">
        <v>1281</v>
      </c>
      <c r="D12" s="12" t="s">
        <v>1282</v>
      </c>
      <c r="E12" s="12" t="s">
        <v>1283</v>
      </c>
      <c r="F12" s="12" t="s">
        <v>1284</v>
      </c>
      <c r="G12" s="12" t="s">
        <v>1285</v>
      </c>
      <c r="H12" s="12" t="s">
        <v>1286</v>
      </c>
      <c r="I12" s="12" t="s">
        <v>1287</v>
      </c>
    </row>
    <row r="15" customFormat="false" ht="15" hidden="false" customHeight="false" outlineLevel="0" collapsed="false">
      <c r="A15" s="10" t="s">
        <v>1288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2026-10-17T08:25:23Z</dcterms:created>
  <dc:creator>openpyxl</dc:creator>
  <dc:description/>
  <dc:language>en-US</dc:language>
  <cp:lastModifiedBy/>
  <dcterms:modified xsi:type="dcterms:W3CDTF">2026-10-17T08:25:23Z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